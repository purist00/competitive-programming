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F" sheetId="1" r:id="rId5"/>
    <sheet state="visible" name="ICPC" sheetId="2" r:id="rId6"/>
    <sheet state="visible" name="CF Virtuals" sheetId="3" r:id="rId7"/>
    <sheet state="visible" name="Virtual Graph" sheetId="4" r:id="rId8"/>
    <sheet state="visible" name="Codeforces Contests" sheetId="5" r:id="rId9"/>
    <sheet state="visible" name="ARC Virtuals" sheetId="6" r:id="rId10"/>
  </sheets>
  <definedNames/>
  <calcPr/>
</workbook>
</file>

<file path=xl/sharedStrings.xml><?xml version="1.0" encoding="utf-8"?>
<sst xmlns="http://schemas.openxmlformats.org/spreadsheetml/2006/main" count="638" uniqueCount="375">
  <si>
    <t>Link</t>
  </si>
  <si>
    <t>Difficulty</t>
  </si>
  <si>
    <t>Status</t>
  </si>
  <si>
    <t>Notes</t>
  </si>
  <si>
    <t>Date Added</t>
  </si>
  <si>
    <t>Date Updated</t>
  </si>
  <si>
    <t>Solved</t>
  </si>
  <si>
    <t>Failed</t>
  </si>
  <si>
    <t>Mindsolved</t>
  </si>
  <si>
    <t>Active</t>
  </si>
  <si>
    <t>Attempted</t>
  </si>
  <si>
    <t>https://codeforces.com/problemset/problem/1815/E</t>
  </si>
  <si>
    <t>eh, later</t>
  </si>
  <si>
    <t>https://codeforces.com/problemset/problem/1776/M</t>
  </si>
  <si>
    <t>https://discord.com/channels/783354935474389002/1082437521121759312/1131427828550877276</t>
  </si>
  <si>
    <t>https://codeforces.com/problemset/problem/1801/E</t>
  </si>
  <si>
    <t>https://discord.com/channels/783354935474389002/1082437521121759312/1131381428593098814</t>
  </si>
  <si>
    <t>https://codeforces.com/problemset/problem/1738/G</t>
  </si>
  <si>
    <t>https://discord.com/channels/783354935474389002/1082437521121759312/1131352102459945100</t>
  </si>
  <si>
    <t>https://codeforces.com/problemset/problem/1764/G2</t>
  </si>
  <si>
    <t>https://discord.com/channels/783354935474389002/1082437521121759312/1131095496597970976</t>
  </si>
  <si>
    <t>https://codeforces.com/problemset/problem/1764/G1</t>
  </si>
  <si>
    <t>https://codeforces.com/problemset/problem/1765/J</t>
  </si>
  <si>
    <t>hungarian...</t>
  </si>
  <si>
    <t>https://codeforces.com/problemset/problem/1773/J</t>
  </si>
  <si>
    <t>https://discord.com/channels/783354935474389002/1082437521121759312/1130652246904942745</t>
  </si>
  <si>
    <t>https://codeforces.com/problemset/problem/1810/H</t>
  </si>
  <si>
    <t>this is not 2900</t>
  </si>
  <si>
    <t>https://codeforces.com/problemset/problem/1835/D</t>
  </si>
  <si>
    <t>https://discord.com/channels/783354935474389002/1082437521121759312/1129611288595664906</t>
  </si>
  <si>
    <t>https://codeforces.com/problemset/problem/1765/I</t>
  </si>
  <si>
    <t>https://discord.com/channels/783354935474389002/1082437521121759312/1129584808792686683</t>
  </si>
  <si>
    <t>https://codeforces.com/problemset/problem/1773/G</t>
  </si>
  <si>
    <t>https://discord.com/channels/783354935474389002/1082437521121759312/1129582158760116235</t>
  </si>
  <si>
    <t>https://codeforces.com/problemset/problem/1776/D</t>
  </si>
  <si>
    <t>bruh</t>
  </si>
  <si>
    <t>https://codeforces.com/problemset/problem/1779/G</t>
  </si>
  <si>
    <t>https://codeforces.com/problemset/problem/1810/F</t>
  </si>
  <si>
    <t>https://discord.com/channels/783354935474389002/1082437521121759312/1121967777272573952</t>
  </si>
  <si>
    <t>https://codeforces.com/problemset/problem/1827/D</t>
  </si>
  <si>
    <t>https://discord.com/channels/783354935474389002/1082437521121759312/1121928403268935722</t>
  </si>
  <si>
    <t>https://codeforces.com/problemset/problem/1819/D</t>
  </si>
  <si>
    <t>https://discord.com/channels/783354935474389002/1082437521121759312/1121940468842889317</t>
  </si>
  <si>
    <t>https://codeforces.com/problemset/problem/1830/D</t>
  </si>
  <si>
    <t>https://discord.com/channels/783354935474389002/1082437521121759312/1121622748435841134</t>
  </si>
  <si>
    <t>https://codeforces.com/problemset/problem/722/F</t>
  </si>
  <si>
    <t>https://discord.com/channels/783354935474389002/1082437521121759312/1095826574026227772</t>
  </si>
  <si>
    <t>https://codeforces.com/problemset/problem/698/E</t>
  </si>
  <si>
    <t>https://codeforces.com/problemset/problem/685/E</t>
  </si>
  <si>
    <t>https://discord.com/channels/783354935474389002/1082437521121759312/1095835479888367616</t>
  </si>
  <si>
    <t>https://codeforces.com/problemset/problem/671/C</t>
  </si>
  <si>
    <t>https://discord.com/channels/783354935474389002/1082437521121759312/1095838795062067331</t>
  </si>
  <si>
    <t>https://codeforces.com/problemset/problem/639/E</t>
  </si>
  <si>
    <t>https://discord.com/channels/783354935474389002/1082437521121759312/1095862685234630778</t>
  </si>
  <si>
    <t>https://codeforces.com/problemset/problem/633/G</t>
  </si>
  <si>
    <t>https://discord.com/channels/783354935474389002/1082437521121759312/1095943467005386812</t>
  </si>
  <si>
    <t>https://codeforces.com/problemset/problem/776/F</t>
  </si>
  <si>
    <t>https://discord.com/channels/783354935474389002/1082437521121759312/1093651711412928583</t>
  </si>
  <si>
    <t>https://codeforces.com/problemset?tags=3100-3100</t>
  </si>
  <si>
    <t>https://codeforces.com/problemset/problem/757/F</t>
  </si>
  <si>
    <t>https://discord.com/channels/783354935474389002/1082437521121759312/1093691777405436055</t>
  </si>
  <si>
    <t>https://codeforces.com/problemset?tags=2700-2700</t>
  </si>
  <si>
    <t>https://codeforces.com/problemset/problem/750/F</t>
  </si>
  <si>
    <t>https://discord.com/channels/783354935474389002/1082437521121759312/1093730542442262619</t>
  </si>
  <si>
    <t>https://codeforces.com/problemset/page/3?tags=2800-2800</t>
  </si>
  <si>
    <t>https://codeforces.com/problemset/problem/736/D</t>
  </si>
  <si>
    <t>https://discord.com/channels/783354935474389002/1082437521121759312/1093738252185387029</t>
  </si>
  <si>
    <t>https://codeforces.com/problemset/problem/794/F</t>
  </si>
  <si>
    <t>https://discord.com/channels/783354935474389002/1082437521121759312/1093354833437806664</t>
  </si>
  <si>
    <t>https://codeforces.com/problemset/problem/794/E</t>
  </si>
  <si>
    <t>https://discord.com/channels/783354935474389002/1082437521121759312/1093364597349687396</t>
  </si>
  <si>
    <t>https://codeforces.com/problemset/problem/815/D</t>
  </si>
  <si>
    <t>https://discord.com/channels/783354935474389002/1082437521121759312/1093345258298941531</t>
  </si>
  <si>
    <t>https://codeforces.com/problemset/problem/850/D</t>
  </si>
  <si>
    <t>https://discord.com/channels/783354935474389002/1082437521121759312/1092920943648702626</t>
  </si>
  <si>
    <t>https://codeforces.com/problemset/problem/833/D</t>
  </si>
  <si>
    <t>https://discord.com/channels/783354935474389002/1082437521121759312/1092937129383952514</t>
  </si>
  <si>
    <t>https://codeforces.com/problemset/problem/830/D</t>
  </si>
  <si>
    <t>https://discord.com/channels/783354935474389002/1082437521121759312/1092962723714826300</t>
  </si>
  <si>
    <t>https://codeforces.com/problemset/problem/819/E</t>
  </si>
  <si>
    <t>https://discord.com/channels/783354935474389002/1082437521121759312/1093012510078160896</t>
  </si>
  <si>
    <t>https://codeforces.com/problemset/problem/1672/H</t>
  </si>
  <si>
    <t>https://discord.com/channels/783354935474389002/1082437521121759312/1092640366383083551</t>
  </si>
  <si>
    <t>https://codeforces.com/problemset/problem/1750/F</t>
  </si>
  <si>
    <t>https://discord.com/channels/783354935474389002/1082437521121759312/1092622241528827924</t>
  </si>
  <si>
    <t>https://codeforces.com/problemset/problem/1774/F2</t>
  </si>
  <si>
    <t>https://discord.com/channels/783354935474389002/1082437521121759312/1092575203030208564</t>
  </si>
  <si>
    <t>https://codeforces.com/problemset/problem/1781/F</t>
  </si>
  <si>
    <t>https://discord.com/channels/783354935474389002/1082437521121759312/1092556119131574303</t>
  </si>
  <si>
    <t>https://codeforces.com/problemset/problem/1801/F</t>
  </si>
  <si>
    <t>https://discord.com/channels/783354935474389002/1082437521121759312/1085994441300516874</t>
  </si>
  <si>
    <t>https://codeforces.com/problemset/problem/1799/F</t>
  </si>
  <si>
    <t>https://discord.com/channels/783354935474389002/1082437521121759312/1086021323169464420</t>
  </si>
  <si>
    <t>https://codeforces.com/problemset/problem/1761/F1</t>
  </si>
  <si>
    <t>https://discord.com/channels/783354935474389002/1082437521121759312/1085394886326505583</t>
  </si>
  <si>
    <t>https://codeforces.com/problemset/problem/1770/F</t>
  </si>
  <si>
    <t>https://discord.com/channels/783354935474389002/1082437521121759312/1085322636688638012</t>
  </si>
  <si>
    <t>https://codeforces.com/problemset/problem/1740/G</t>
  </si>
  <si>
    <t>https://discord.com/channels/783354935474389002/1082437521121759312/1082437589493096489</t>
  </si>
  <si>
    <t>https://codeforces.com/problemset/problem/1666/G</t>
  </si>
  <si>
    <t>https://discord.com/channels/783354935474389002/1082437521121759312/1082443303733170236</t>
  </si>
  <si>
    <t>https://codeforces.com/problemset/problem/1628/E</t>
  </si>
  <si>
    <t>https://discord.com/channels/783354935474389002/1082437521121759312/1082450451112403106</t>
  </si>
  <si>
    <t>https://codeforces.com/problemset/problem/1784/E</t>
  </si>
  <si>
    <t>https://discord.com/channels/783354935474389002/1082437521121759312/1082801619319660686</t>
  </si>
  <si>
    <t>https://codeforces.com/problemset/problem/1672/F2</t>
  </si>
  <si>
    <t>https://open.kattis.com/problems/basincity</t>
  </si>
  <si>
    <t>?</t>
  </si>
  <si>
    <t>https://codeforces.com/group/Jch2iQtHGh/contest/433989/problem/H</t>
  </si>
  <si>
    <t>N/A</t>
  </si>
  <si>
    <t>https://discord.com/channels/783354935474389002/1082437521121759312/1095812498810216539</t>
  </si>
  <si>
    <t>Score</t>
  </si>
  <si>
    <t>https://codeforces.com/gym/104314</t>
  </si>
  <si>
    <t>tilt</t>
  </si>
  <si>
    <t>https://codeforces.com/gym/104312</t>
  </si>
  <si>
    <t>Complete</t>
  </si>
  <si>
    <t>https://codeforces.com/gym/104311</t>
  </si>
  <si>
    <t>think simpler</t>
  </si>
  <si>
    <t>https://codeforces.com/gym/104308</t>
  </si>
  <si>
    <t>https://codeforces.com/gym/104301</t>
  </si>
  <si>
    <t>https://codeforces.com/gym/104289</t>
  </si>
  <si>
    <t>look at other angles if it seems messy</t>
  </si>
  <si>
    <t>https://codeforces.com/gym/104285</t>
  </si>
  <si>
    <t>13/14</t>
  </si>
  <si>
    <t>not doing geo yet</t>
  </si>
  <si>
    <t>https://codeforces.com/gym/104282</t>
  </si>
  <si>
    <t>13/13</t>
  </si>
  <si>
    <t>go to sleep lol</t>
  </si>
  <si>
    <t>btw this is like 1/10 of what i actually did</t>
  </si>
  <si>
    <t>Round</t>
  </si>
  <si>
    <t>Performance</t>
  </si>
  <si>
    <t>Rated (errichto server)</t>
  </si>
  <si>
    <t>https://codeforces.com/contest/878</t>
  </si>
  <si>
    <t>https://codeforces.com/contest/1492</t>
  </si>
  <si>
    <t>literally FST'd 2 problems... and would have been 4th (including div. 1) otherwise</t>
  </si>
  <si>
    <t>https://codeforces.com/contest/89</t>
  </si>
  <si>
    <t>old round, ranks very weird, also FST B lol, also unrated (in server)</t>
  </si>
  <si>
    <t>Global 13</t>
  </si>
  <si>
    <t>https://codeforces.com/contest/1491</t>
  </si>
  <si>
    <t>https://codeforces.com/contest/1025</t>
  </si>
  <si>
    <t>https://codeforces.com/contest/901</t>
  </si>
  <si>
    <t>bruh level contest</t>
  </si>
  <si>
    <t>https://codeforces.com/contest/786</t>
  </si>
  <si>
    <t>why so tired :(, be better at game theory</t>
  </si>
  <si>
    <t>https://codeforces.com/contest/1039</t>
  </si>
  <si>
    <t>skipping problems is ok jeez</t>
  </si>
  <si>
    <t>Good Bye 2017</t>
  </si>
  <si>
    <t>https://codeforces.com/contest/908</t>
  </si>
  <si>
    <t>https://codeforces.com/contest/868</t>
  </si>
  <si>
    <t>F blatant d&amp;c, come on</t>
  </si>
  <si>
    <t>https://codeforces.com/contest/1495</t>
  </si>
  <si>
    <t>combo</t>
  </si>
  <si>
    <t>https://codeforces.com/contest/1500</t>
  </si>
  <si>
    <t>sorting &lt;-&gt; inversions</t>
  </si>
  <si>
    <t>https://codeforces.com/contest/1483</t>
  </si>
  <si>
    <t>https://codeforces.com/contest/1517</t>
  </si>
  <si>
    <t>Global 14</t>
  </si>
  <si>
    <t>https://codeforces.com/contest/1515</t>
  </si>
  <si>
    <t>https://codeforces.com/contest/1540</t>
  </si>
  <si>
    <t>https://codeforces.com/contest/1528</t>
  </si>
  <si>
    <t>https://codeforces.com/contest/1740</t>
  </si>
  <si>
    <t>https://codeforces.com/contest/1815/standings</t>
  </si>
  <si>
    <t>come on, reduce the mistake space</t>
  </si>
  <si>
    <t>Nebius</t>
  </si>
  <si>
    <t>https://codeforces.com/contest/1804</t>
  </si>
  <si>
    <t>did not see min value in E</t>
  </si>
  <si>
    <t>https://codeforces.com/contest/1819</t>
  </si>
  <si>
    <t>simplify :(</t>
  </si>
  <si>
    <t>Hello 2023</t>
  </si>
  <si>
    <t>https://codeforces.com/contest/1779</t>
  </si>
  <si>
    <t>think a bit harder before submitting</t>
  </si>
  <si>
    <t>TypeDB 2023</t>
  </si>
  <si>
    <t>https://codeforces.com/contest/1787</t>
  </si>
  <si>
    <t>good speed, go for G next</t>
  </si>
  <si>
    <t>Dytechlab 2022</t>
  </si>
  <si>
    <t>https://codeforces.com/contest/1737</t>
  </si>
  <si>
    <t>check. every. line.</t>
  </si>
  <si>
    <t>2800 perf with no D stupid, though</t>
  </si>
  <si>
    <t>Global 22</t>
  </si>
  <si>
    <t>https://codeforces.com/contest/1738</t>
  </si>
  <si>
    <t>slow, maybe don't do vc right after exam</t>
  </si>
  <si>
    <t>https://codeforces.com/contest/1824</t>
  </si>
  <si>
    <t>a bit faster and we get D :(</t>
  </si>
  <si>
    <t>https://codeforces.com/contest/1844</t>
  </si>
  <si>
    <t>slow on everything, penalties galore... just bad</t>
  </si>
  <si>
    <t>https://codeforces.com/contest/1718</t>
  </si>
  <si>
    <t>slow B &amp; penalties, rest was fine, maybe got D?</t>
  </si>
  <si>
    <t>https://codeforces.com/contest/1852</t>
  </si>
  <si>
    <t>fucking legendary</t>
  </si>
  <si>
    <t>https://codeforces.com/contest/1854</t>
  </si>
  <si>
    <t>just like don't brick A2/C and you get E and 3000 perf</t>
  </si>
  <si>
    <t>https://codeforces.com/contest/1707</t>
  </si>
  <si>
    <t>idk what's up with D, not bad speed though</t>
  </si>
  <si>
    <t>Global 21</t>
  </si>
  <si>
    <t>https://codeforces.com/contest/1696</t>
  </si>
  <si>
    <t>horrible. think of brute force. think through correctness for tricky things more.</t>
  </si>
  <si>
    <t>https://codeforces.com/contest/1693</t>
  </si>
  <si>
    <t>slow D, but good overall</t>
  </si>
  <si>
    <t>Pinely 2</t>
  </si>
  <si>
    <t>https://codeforces.com/contest/1863</t>
  </si>
  <si>
    <t>bounce between ideas more pls</t>
  </si>
  <si>
    <t>https://codeforces.com/contest/1687</t>
  </si>
  <si>
    <t>bounce between ideas more PLS</t>
  </si>
  <si>
    <t>https://codeforces.com/contest/1868</t>
  </si>
  <si>
    <t>good</t>
  </si>
  <si>
    <t>Harbour.Space 2023</t>
  </si>
  <si>
    <t>https://codeforces.com/contest/1864</t>
  </si>
  <si>
    <t>could've easily gotten G :/</t>
  </si>
  <si>
    <t>CodeTON 6</t>
  </si>
  <si>
    <t>https://codeforces.com/contest/1870</t>
  </si>
  <si>
    <t>idk, just be faster lol</t>
  </si>
  <si>
    <t>https://codeforces.com/contest/1685</t>
  </si>
  <si>
    <t>fucking pathetic, think through what you do</t>
  </si>
  <si>
    <t>https://codeforces.com/contest/1684</t>
  </si>
  <si>
    <t>c? seriously?</t>
  </si>
  <si>
    <t>https://codeforces.com/contest/1677</t>
  </si>
  <si>
    <t>not bad, but have the confidence to try e</t>
  </si>
  <si>
    <t>https://codeforces.com/contest/1667</t>
  </si>
  <si>
    <t>nice</t>
  </si>
  <si>
    <t>https://codeforces.com/contest/1876</t>
  </si>
  <si>
    <t>slow...</t>
  </si>
  <si>
    <t>https://codeforces.com/contest/1889</t>
  </si>
  <si>
    <t>make better decisions with solution ideas lol</t>
  </si>
  <si>
    <t>https://codeforces.com/contest/1893</t>
  </si>
  <si>
    <t>speeeeeed gg</t>
  </si>
  <si>
    <t>CodeTON 7</t>
  </si>
  <si>
    <t>https://codeforces.com/contest/1896</t>
  </si>
  <si>
    <t>https://codeforces.com/contest/1874</t>
  </si>
  <si>
    <t>https://codeforces.com/contest/1887</t>
  </si>
  <si>
    <t>CodeTON 1</t>
  </si>
  <si>
    <t>https://codeforces.com/contest/1656</t>
  </si>
  <si>
    <t>https://codeforces.com/contest/1648</t>
  </si>
  <si>
    <t>Global 19</t>
  </si>
  <si>
    <t>https://codeforces.com/contest/1637</t>
  </si>
  <si>
    <t>Hello 2022</t>
  </si>
  <si>
    <t>https://codeforces.com/contest/1621</t>
  </si>
  <si>
    <t>https://codeforces.com/contest/1924</t>
  </si>
  <si>
    <t>Hello 2024</t>
  </si>
  <si>
    <t>https://codeforces.com/contest/1919</t>
  </si>
  <si>
    <t>Pinely 3</t>
  </si>
  <si>
    <t>https://codeforces.com/contest/1909</t>
  </si>
  <si>
    <t>https://codeforces.com/contest/1641</t>
  </si>
  <si>
    <t>https://codeforces.com/contest/1630</t>
  </si>
  <si>
    <t>Time</t>
  </si>
  <si>
    <t>Division</t>
  </si>
  <si>
    <t>Rating</t>
  </si>
  <si>
    <t>Change</t>
  </si>
  <si>
    <t>1</t>
  </si>
  <si>
    <t>2</t>
  </si>
  <si>
    <t>unrated</t>
  </si>
  <si>
    <t>Perf.</t>
  </si>
  <si>
    <t>Avg. perf.</t>
  </si>
  <si>
    <t>Avg. avg. perf</t>
  </si>
  <si>
    <t>rounded</t>
  </si>
  <si>
    <t>564</t>
  </si>
  <si>
    <t>https://codeforces.com/contest/1173</t>
  </si>
  <si>
    <t>565</t>
  </si>
  <si>
    <t>https://codeforces.com/contest/1176</t>
  </si>
  <si>
    <t>3</t>
  </si>
  <si>
    <t>567</t>
  </si>
  <si>
    <t>https://codeforces.com/contest/1181</t>
  </si>
  <si>
    <t>568</t>
  </si>
  <si>
    <t>https://codeforces.com/contest/1185</t>
  </si>
  <si>
    <t>569</t>
  </si>
  <si>
    <t>https://codeforces.com/contest/1180</t>
  </si>
  <si>
    <t>fst ~ 1742</t>
  </si>
  <si>
    <t>E67</t>
  </si>
  <si>
    <t>https://codeforces.com/contest/1187</t>
  </si>
  <si>
    <t>572</t>
  </si>
  <si>
    <t>https://codeforces.com/contest/1189</t>
  </si>
  <si>
    <t>573</t>
  </si>
  <si>
    <t>https://codeforces.com/contest/1191</t>
  </si>
  <si>
    <t>fst ~ 2522</t>
  </si>
  <si>
    <t>E68</t>
  </si>
  <si>
    <t>https://codeforces.com/contest/1194</t>
  </si>
  <si>
    <t>574</t>
  </si>
  <si>
    <t>https://codeforces.com/contest/1195</t>
  </si>
  <si>
    <t>Global 4</t>
  </si>
  <si>
    <t>https://codeforces.com/contest/1178</t>
  </si>
  <si>
    <t>E69</t>
  </si>
  <si>
    <t>https://codeforces.com/contest/1197</t>
  </si>
  <si>
    <t>576</t>
  </si>
  <si>
    <t>https://codeforces.com/contest/1199</t>
  </si>
  <si>
    <t>577</t>
  </si>
  <si>
    <t>https://codeforces.com/contest/1201</t>
  </si>
  <si>
    <t>E70</t>
  </si>
  <si>
    <t>https://codeforces.com/contest/1202</t>
  </si>
  <si>
    <t>578</t>
  </si>
  <si>
    <t>https://codeforces.com/contest/1200</t>
  </si>
  <si>
    <t>580</t>
  </si>
  <si>
    <t>https://codeforces.com/contest/1206</t>
  </si>
  <si>
    <t>581</t>
  </si>
  <si>
    <t>https://codeforces.com/contest/1204</t>
  </si>
  <si>
    <t>E71</t>
  </si>
  <si>
    <t>https://codeforces.com/contest/1207</t>
  </si>
  <si>
    <t>Manthan '19</t>
  </si>
  <si>
    <t>https://codeforces.com/contest/1208</t>
  </si>
  <si>
    <t>584</t>
  </si>
  <si>
    <t>https://codeforces.com/contest/1209</t>
  </si>
  <si>
    <t>585</t>
  </si>
  <si>
    <t>https://codeforces.com/contest/1215</t>
  </si>
  <si>
    <t>589</t>
  </si>
  <si>
    <t>https://codeforces.com/contest/1228</t>
  </si>
  <si>
    <t>596</t>
  </si>
  <si>
    <t>https://codeforces.com/contest/1246</t>
  </si>
  <si>
    <t>600</t>
  </si>
  <si>
    <t>https://codeforces.com/contest/1253</t>
  </si>
  <si>
    <t>603</t>
  </si>
  <si>
    <t>https://codeforces.com/contest/1263</t>
  </si>
  <si>
    <t>Good Bye 2019</t>
  </si>
  <si>
    <t>https://codeforces.com/contest/1270</t>
  </si>
  <si>
    <t>612</t>
  </si>
  <si>
    <t>https://codeforces.com/contest/1286</t>
  </si>
  <si>
    <t>614</t>
  </si>
  <si>
    <t>https://codeforces.com/contest/1292</t>
  </si>
  <si>
    <t>616</t>
  </si>
  <si>
    <t>https://codeforces.com/contest/1290</t>
  </si>
  <si>
    <t>618</t>
  </si>
  <si>
    <t>https://codeforces.com/contest/1299</t>
  </si>
  <si>
    <t>620</t>
  </si>
  <si>
    <t>https://codeforces.com/contest/1304</t>
  </si>
  <si>
    <t>623</t>
  </si>
  <si>
    <t>https://codeforces.com/contest/1314</t>
  </si>
  <si>
    <t>625</t>
  </si>
  <si>
    <t>https://codeforces.com/contest/1320</t>
  </si>
  <si>
    <t>Global 7</t>
  </si>
  <si>
    <t>https://codeforces.com/contest/1326</t>
  </si>
  <si>
    <t>fst ~ 1811</t>
  </si>
  <si>
    <t>631</t>
  </si>
  <si>
    <t>https://codeforces.com/contest/1329</t>
  </si>
  <si>
    <t>fst ~ 2456</t>
  </si>
  <si>
    <t>633</t>
  </si>
  <si>
    <t>https://codeforces.com/contest/1338</t>
  </si>
  <si>
    <t>635</t>
  </si>
  <si>
    <t>https://codeforces.com/contest/1336</t>
  </si>
  <si>
    <t>637</t>
  </si>
  <si>
    <t>https://codeforces.com/contest/1340</t>
  </si>
  <si>
    <t>641</t>
  </si>
  <si>
    <t>https://codeforces.com/contest/1349</t>
  </si>
  <si>
    <t>647</t>
  </si>
  <si>
    <t>https://codeforces.com/contest/1361</t>
  </si>
  <si>
    <t>Global 8</t>
  </si>
  <si>
    <t>https://codeforces.com/contest/1368</t>
  </si>
  <si>
    <t>Global 9</t>
  </si>
  <si>
    <t>https://codeforces.com/contest/1375</t>
  </si>
  <si>
    <t>658</t>
  </si>
  <si>
    <t>https://codeforces.com/contest/1381</t>
  </si>
  <si>
    <t>659</t>
  </si>
  <si>
    <t>https://codeforces.com/contest/1383</t>
  </si>
  <si>
    <t>664</t>
  </si>
  <si>
    <t>https://codeforces.com/contest/1394</t>
  </si>
  <si>
    <t>666</t>
  </si>
  <si>
    <t>https://codeforces.com/contest/1396</t>
  </si>
  <si>
    <t>673</t>
  </si>
  <si>
    <t>https://codeforces.com/contest/1416</t>
  </si>
  <si>
    <t>Global 11</t>
  </si>
  <si>
    <t>https://codeforces.com/contest/1427</t>
  </si>
  <si>
    <t>Raif 1</t>
  </si>
  <si>
    <t>https://codeforces.com/contest/1428</t>
  </si>
  <si>
    <t>Good Bye 2020</t>
  </si>
  <si>
    <t>https://codeforces.com/contest/1466</t>
  </si>
  <si>
    <t>700</t>
  </si>
  <si>
    <t>https://codeforces.com/contest/1479</t>
  </si>
  <si>
    <t>712</t>
  </si>
  <si>
    <t>https://codeforces.com/contest/1503</t>
  </si>
  <si>
    <t>ARC 169</t>
  </si>
  <si>
    <t>https://atcoder.jp/contests/arc169</t>
  </si>
  <si>
    <t>ARC 168</t>
  </si>
  <si>
    <t>https://atcoder.jp/contests/arc168</t>
  </si>
  <si>
    <t>ARC 167</t>
  </si>
  <si>
    <t>https://atcoder.jp/contests/arc167</t>
  </si>
  <si>
    <t>ARC 166</t>
  </si>
  <si>
    <t>https://atcoder.jp/contests/arc166</t>
  </si>
  <si>
    <t>ARC 165</t>
  </si>
  <si>
    <t>https://atcoder.jp/contests/arc165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</si>
</sst>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"/>
    <numFmt numFmtId="166" formatCode="m/d/yy"/>
    <numFmt numFmtId="167" formatCode="??/??"/>
  </numFmts>
  <fonts count="10">
    <font>
      <sz val="10.0"/>
      <color rgb="FF000000"/>
      <name val="Arial"/>
      <scheme val="minor"/>
    </font>
    <font>
      <color theme="1"/>
      <name val="EB Garamond"/>
    </font>
    <font>
      <u/>
      <color rgb="FF0000FF"/>
      <name val="EB Garamond"/>
    </font>
    <font>
      <b/>
      <color theme="1"/>
      <name val="EB Garamond"/>
    </font>
    <font>
      <u/>
      <color rgb="FF0000FF"/>
      <name val="EB Garamond"/>
    </font>
    <font>
      <u/>
      <color rgb="FF1155CC"/>
      <name val="EB Garamond"/>
    </font>
    <font>
      <u/>
      <color rgb="FF0000FF"/>
      <name val="EB Garamond"/>
    </font>
    <font>
      <u/>
      <color rgb="FF0000FF"/>
      <name val="EB Garamond"/>
    </font>
    <font>
      <u/>
      <color rgb="FF1155CC"/>
      <name val="EB Garamond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horizontal="left"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3" xfId="0" applyAlignment="1" applyFont="1" applyNumberForma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3" xfId="0" applyAlignment="1" applyFont="1" applyNumberFormat="1">
      <alignment horizontal="right"/>
    </xf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horizontal="left" shrinkToFit="0" vertical="bottom" wrapText="0"/>
    </xf>
    <xf borderId="0" fillId="0" fontId="3" numFmtId="3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vertical="bottom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0" fontId="3" numFmtId="3" xfId="0" applyFont="1" applyNumberFormat="1"/>
    <xf borderId="0" fillId="0" fontId="1" numFmtId="49" xfId="0" applyAlignment="1" applyFont="1" applyNumberFormat="1">
      <alignment readingOrder="0"/>
    </xf>
    <xf borderId="0" fillId="0" fontId="1" numFmtId="3" xfId="0" applyFont="1" applyNumberFormat="1"/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3" numFmtId="3" xfId="0" applyFont="1" applyNumberFormat="1"/>
    <xf borderId="0" fillId="0" fontId="1" numFmtId="49" xfId="0" applyFont="1" applyNumberFormat="1"/>
    <xf borderId="0" fillId="0" fontId="3" numFmtId="0" xfId="0" applyFont="1"/>
    <xf borderId="0" fillId="0" fontId="9" numFmtId="0" xfId="0" applyAlignment="1" applyFont="1">
      <alignment horizontal="left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22">
    <dxf>
      <font>
        <color rgb="FFFF0000"/>
      </font>
      <fill>
        <patternFill patternType="solid">
          <fgColor rgb="FF000000"/>
          <bgColor rgb="FF000000"/>
        </patternFill>
      </fill>
      <border/>
    </dxf>
    <dxf>
      <font>
        <color rgb="FFFFFFFF"/>
      </font>
      <fill>
        <patternFill patternType="solid">
          <fgColor rgb="FF990000"/>
          <bgColor rgb="FF99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B45F06"/>
          <bgColor rgb="FFB45F06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>
        <color rgb="FFFFFFFF"/>
      </font>
      <fill>
        <patternFill patternType="solid">
          <fgColor rgb="FF9900FF"/>
          <bgColor rgb="FF9900FF"/>
        </patternFill>
      </fill>
      <border/>
    </dxf>
    <dxf>
      <font>
        <color rgb="FFFFFFFF"/>
      </font>
      <fill>
        <patternFill patternType="solid">
          <fgColor rgb="FF0000FF"/>
          <bgColor rgb="FF0000FF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03A89E"/>
          <bgColor rgb="FF03A89E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FFFFFF"/>
      </font>
      <fill>
        <patternFill patternType="solid">
          <fgColor rgb="FF85200C"/>
          <bgColor rgb="FF85200C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Performance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'CF Virtuals'!$C$1:$C$2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'CF Virtuals'!$C$3:$C$59</c:f>
              <c:numCache/>
            </c:numRef>
          </c:val>
          <c:smooth val="0"/>
        </c:ser>
        <c:axId val="586416505"/>
        <c:axId val="1796713435"/>
      </c:lineChart>
      <c:catAx>
        <c:axId val="5864165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6713435"/>
      </c:catAx>
      <c:valAx>
        <c:axId val="1796713435"/>
        <c:scaling>
          <c:orientation val="minMax"/>
          <c:max val="34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Performance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64165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Performance &amp; rating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'Virtual Graph'!$E$1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'Virtual Graph'!$B$2:$B$72</c:f>
            </c:strRef>
          </c:cat>
          <c:val>
            <c:numRef>
              <c:f>'Virtual Graph'!$E$2:$E$72</c:f>
              <c:numCache/>
            </c:numRef>
          </c:val>
          <c:smooth val="0"/>
        </c:ser>
        <c:ser>
          <c:idx val="1"/>
          <c:order val="1"/>
          <c:tx>
            <c:strRef>
              <c:f>'Virtual Graph'!$F$1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'Virtual Graph'!$B$2:$B$72</c:f>
            </c:strRef>
          </c:cat>
          <c:val>
            <c:numRef>
              <c:f>'Virtual Graph'!$F$2:$F$72</c:f>
              <c:numCache/>
            </c:numRef>
          </c:val>
          <c:smooth val="0"/>
        </c:ser>
        <c:axId val="518372433"/>
        <c:axId val="2121143330"/>
      </c:lineChart>
      <c:catAx>
        <c:axId val="5183724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(time)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1143330"/>
      </c:catAx>
      <c:valAx>
        <c:axId val="2121143330"/>
        <c:scaling>
          <c:orientation val="minMax"/>
          <c:max val="34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83724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Rating</a:t>
            </a:r>
          </a:p>
        </c:rich>
      </c:tx>
      <c:layout>
        <c:manualLayout>
          <c:xMode val="edge"/>
          <c:yMode val="edge"/>
          <c:x val="0.03091666666666667"/>
          <c:y val="0.044609164420485174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'Virtual Graph'!$F$20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'Virtual Graph'!$B$21:$B$72</c:f>
            </c:strRef>
          </c:cat>
          <c:val>
            <c:numRef>
              <c:f>'Virtual Graph'!$F$21:$F$72</c:f>
              <c:numCache/>
            </c:numRef>
          </c:val>
          <c:smooth val="0"/>
        </c:ser>
        <c:axId val="354783528"/>
        <c:axId val="1995429653"/>
      </c:lineChart>
      <c:catAx>
        <c:axId val="354783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(time)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5429653"/>
      </c:catAx>
      <c:valAx>
        <c:axId val="1995429653"/>
        <c:scaling>
          <c:orientation val="minMax"/>
          <c:max val="3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47835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Weighted avg. (performance)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'Virtual Graph'!$B$2:$B$75</c:f>
            </c:strRef>
          </c:cat>
          <c:val>
            <c:numRef>
              <c:f>'Virtual Graph'!$J$84:$J$228</c:f>
              <c:numCache/>
            </c:numRef>
          </c:val>
          <c:smooth val="0"/>
        </c:ser>
        <c:axId val="1401409310"/>
        <c:axId val="228758071"/>
      </c:lineChart>
      <c:catAx>
        <c:axId val="14014093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8758071"/>
      </c:catAx>
      <c:valAx>
        <c:axId val="228758071"/>
        <c:scaling>
          <c:orientation val="minMax"/>
          <c:max val="30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14093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Performance</a:t>
            </a:r>
          </a:p>
        </c:rich>
      </c:tx>
      <c:layout>
        <c:manualLayout>
          <c:xMode val="edge"/>
          <c:yMode val="edge"/>
          <c:x val="0.03091666666666667"/>
          <c:y val="0.044609164420485174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'Virtual Graph'!$E$19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'Virtual Graph'!$B$20:$B$72</c:f>
            </c:strRef>
          </c:cat>
          <c:val>
            <c:numRef>
              <c:f>'Virtual Graph'!$E$20:$E$72</c:f>
              <c:numCache/>
            </c:numRef>
          </c:val>
          <c:smooth val="0"/>
        </c:ser>
        <c:axId val="1327131628"/>
        <c:axId val="1408400930"/>
      </c:lineChart>
      <c:catAx>
        <c:axId val="13271316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(time)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8400930"/>
      </c:catAx>
      <c:valAx>
        <c:axId val="1408400930"/>
        <c:scaling>
          <c:orientation val="minMax"/>
          <c:max val="34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71316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Performance &amp; rating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'Codeforces Contests'!$E$1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'Codeforces Contests'!$B$2:$B$72</c:f>
            </c:strRef>
          </c:cat>
          <c:val>
            <c:numRef>
              <c:f>'Codeforces Contests'!$E$2:$E$72</c:f>
              <c:numCache/>
            </c:numRef>
          </c:val>
          <c:smooth val="0"/>
        </c:ser>
        <c:ser>
          <c:idx val="1"/>
          <c:order val="1"/>
          <c:tx>
            <c:strRef>
              <c:f>'Codeforces Contests'!$F$1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'Codeforces Contests'!$B$2:$B$72</c:f>
            </c:strRef>
          </c:cat>
          <c:val>
            <c:numRef>
              <c:f>'Codeforces Contests'!$F$2:$F$72</c:f>
              <c:numCache/>
            </c:numRef>
          </c:val>
          <c:smooth val="0"/>
        </c:ser>
        <c:axId val="104530414"/>
        <c:axId val="1893064549"/>
      </c:lineChart>
      <c:catAx>
        <c:axId val="1045304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(time)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3064549"/>
      </c:catAx>
      <c:valAx>
        <c:axId val="1893064549"/>
        <c:scaling>
          <c:orientation val="minMax"/>
          <c:max val="29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5304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Rating</a:t>
            </a:r>
          </a:p>
        </c:rich>
      </c:tx>
      <c:layout>
        <c:manualLayout>
          <c:xMode val="edge"/>
          <c:yMode val="edge"/>
          <c:x val="0.03091666666666667"/>
          <c:y val="0.044609164420485174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'Codeforces Contests'!$F$1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name/>
            <c:spPr>
              <a:ln w="19050">
                <a:solidFill>
                  <a:srgbClr val="FF0000"/>
                </a:solidFill>
              </a:ln>
            </c:spPr>
            <c:trendlineType val="linear"/>
            <c:dispRSqr val="0"/>
            <c:dispEq val="1"/>
          </c:trendline>
          <c:cat>
            <c:strRef>
              <c:f>'Codeforces Contests'!$B$2:$B$72</c:f>
            </c:strRef>
          </c:cat>
          <c:val>
            <c:numRef>
              <c:f>'Codeforces Contests'!$F$2:$F$72</c:f>
              <c:numCache/>
            </c:numRef>
          </c:val>
          <c:smooth val="0"/>
        </c:ser>
        <c:axId val="543479868"/>
        <c:axId val="886458079"/>
      </c:lineChart>
      <c:catAx>
        <c:axId val="5434798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(time)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6458079"/>
      </c:catAx>
      <c:valAx>
        <c:axId val="886458079"/>
        <c:scaling>
          <c:orientation val="minMax"/>
          <c:max val="28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34798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Weighted avg. (performance)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'Codeforces Contests'!$B$2:$B$75</c:f>
            </c:strRef>
          </c:cat>
          <c:val>
            <c:numRef>
              <c:f>'Codeforces Contests'!$J$84:$J$228</c:f>
              <c:numCache/>
            </c:numRef>
          </c:val>
          <c:smooth val="0"/>
        </c:ser>
        <c:axId val="348818604"/>
        <c:axId val="982216058"/>
      </c:lineChart>
      <c:catAx>
        <c:axId val="3488186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2216058"/>
      </c:catAx>
      <c:valAx>
        <c:axId val="982216058"/>
        <c:scaling>
          <c:orientation val="minMax"/>
          <c:max val="29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88186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Performance</a:t>
            </a:r>
          </a:p>
        </c:rich>
      </c:tx>
      <c:layout>
        <c:manualLayout>
          <c:xMode val="edge"/>
          <c:yMode val="edge"/>
          <c:x val="0.03091666666666667"/>
          <c:y val="0.044609164420485174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'Codeforces Contests'!$E$1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name/>
            <c:spPr>
              <a:ln w="19050">
                <a:solidFill>
                  <a:srgbClr val="FF0000"/>
                </a:solidFill>
              </a:ln>
            </c:spPr>
            <c:trendlineType val="linear"/>
            <c:dispRSqr val="1"/>
            <c:dispEq val="1"/>
          </c:trendline>
          <c:cat>
            <c:strRef>
              <c:f>'Codeforces Contests'!$B$2:$B$72</c:f>
            </c:strRef>
          </c:cat>
          <c:val>
            <c:numRef>
              <c:f>'Codeforces Contests'!$E$2:$E$72</c:f>
              <c:numCache/>
            </c:numRef>
          </c:val>
          <c:smooth val="0"/>
        </c:ser>
        <c:axId val="1384519939"/>
        <c:axId val="550922427"/>
      </c:lineChart>
      <c:catAx>
        <c:axId val="1384519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(time)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0922427"/>
      </c:catAx>
      <c:valAx>
        <c:axId val="550922427"/>
        <c:scaling>
          <c:orientation val="minMax"/>
          <c:max val="3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45199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12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942975</xdr:colOff>
      <xdr:row>15</xdr:row>
      <xdr:rowOff>123825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942975</xdr:colOff>
      <xdr:row>36</xdr:row>
      <xdr:rowOff>95250</xdr:rowOff>
    </xdr:from>
    <xdr:ext cx="8753475" cy="29051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895350</xdr:colOff>
      <xdr:row>83</xdr:row>
      <xdr:rowOff>38100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933450</xdr:colOff>
      <xdr:row>19</xdr:row>
      <xdr:rowOff>28575</xdr:rowOff>
    </xdr:from>
    <xdr:ext cx="8753475" cy="29051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942975</xdr:colOff>
      <xdr:row>15</xdr:row>
      <xdr:rowOff>123825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942975</xdr:colOff>
      <xdr:row>36</xdr:row>
      <xdr:rowOff>95250</xdr:rowOff>
    </xdr:from>
    <xdr:ext cx="8753475" cy="29051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895350</xdr:colOff>
      <xdr:row>83</xdr:row>
      <xdr:rowOff>38100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933450</xdr:colOff>
      <xdr:row>19</xdr:row>
      <xdr:rowOff>28575</xdr:rowOff>
    </xdr:from>
    <xdr:ext cx="8753475" cy="29051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iscord.com/channels/783354935474389002/1082437521121759312/1095862685234630778" TargetMode="External"/><Relationship Id="rId84" Type="http://schemas.openxmlformats.org/officeDocument/2006/relationships/hyperlink" Target="https://codeforces.com/problemset/problem/1740/G" TargetMode="External"/><Relationship Id="rId83" Type="http://schemas.openxmlformats.org/officeDocument/2006/relationships/hyperlink" Target="https://discord.com/channels/783354935474389002/1082437521121759312/1085322636688638012" TargetMode="External"/><Relationship Id="rId42" Type="http://schemas.openxmlformats.org/officeDocument/2006/relationships/hyperlink" Target="https://discord.com/channels/783354935474389002/1082437521121759312/1095943467005386812" TargetMode="External"/><Relationship Id="rId86" Type="http://schemas.openxmlformats.org/officeDocument/2006/relationships/hyperlink" Target="https://codeforces.com/problemset/problem/1666/G" TargetMode="External"/><Relationship Id="rId41" Type="http://schemas.openxmlformats.org/officeDocument/2006/relationships/hyperlink" Target="https://codeforces.com/problemset/problem/633/G" TargetMode="External"/><Relationship Id="rId85" Type="http://schemas.openxmlformats.org/officeDocument/2006/relationships/hyperlink" Target="https://discord.com/channels/783354935474389002/1082437521121759312/1082437589493096489" TargetMode="External"/><Relationship Id="rId44" Type="http://schemas.openxmlformats.org/officeDocument/2006/relationships/hyperlink" Target="https://discord.com/channels/783354935474389002/1082437521121759312/1093651711412928583" TargetMode="External"/><Relationship Id="rId88" Type="http://schemas.openxmlformats.org/officeDocument/2006/relationships/hyperlink" Target="https://codeforces.com/problemset/problem/1628/E" TargetMode="External"/><Relationship Id="rId43" Type="http://schemas.openxmlformats.org/officeDocument/2006/relationships/hyperlink" Target="https://codeforces.com/problemset/problem/776/F" TargetMode="External"/><Relationship Id="rId87" Type="http://schemas.openxmlformats.org/officeDocument/2006/relationships/hyperlink" Target="https://discord.com/channels/783354935474389002/1082437521121759312/1082443303733170236" TargetMode="External"/><Relationship Id="rId46" Type="http://schemas.openxmlformats.org/officeDocument/2006/relationships/hyperlink" Target="https://codeforces.com/problemset/problem/757/F" TargetMode="External"/><Relationship Id="rId45" Type="http://schemas.openxmlformats.org/officeDocument/2006/relationships/hyperlink" Target="https://codeforces.com/problemset?tags=3100-3100" TargetMode="External"/><Relationship Id="rId89" Type="http://schemas.openxmlformats.org/officeDocument/2006/relationships/hyperlink" Target="https://discord.com/channels/783354935474389002/1082437521121759312/1082450451112403106" TargetMode="External"/><Relationship Id="rId80" Type="http://schemas.openxmlformats.org/officeDocument/2006/relationships/hyperlink" Target="https://codeforces.com/contest/1761/problem/F1" TargetMode="External"/><Relationship Id="rId82" Type="http://schemas.openxmlformats.org/officeDocument/2006/relationships/hyperlink" Target="https://codeforces.com/problemset/problem/1770/F" TargetMode="External"/><Relationship Id="rId81" Type="http://schemas.openxmlformats.org/officeDocument/2006/relationships/hyperlink" Target="https://discord.com/channels/783354935474389002/1082437521121759312/1085394886326505583" TargetMode="External"/><Relationship Id="rId1" Type="http://schemas.openxmlformats.org/officeDocument/2006/relationships/hyperlink" Target="https://codeforces.com/problemset/problem/1815/E" TargetMode="External"/><Relationship Id="rId2" Type="http://schemas.openxmlformats.org/officeDocument/2006/relationships/hyperlink" Target="https://codeforces.com/problemset/problem/1776/M" TargetMode="External"/><Relationship Id="rId3" Type="http://schemas.openxmlformats.org/officeDocument/2006/relationships/hyperlink" Target="https://discord.com/channels/783354935474389002/1082437521121759312/1131427828550877276" TargetMode="External"/><Relationship Id="rId4" Type="http://schemas.openxmlformats.org/officeDocument/2006/relationships/hyperlink" Target="https://codeforces.com/problemset/problem/1801/E" TargetMode="External"/><Relationship Id="rId9" Type="http://schemas.openxmlformats.org/officeDocument/2006/relationships/hyperlink" Target="https://discord.com/channels/783354935474389002/1082437521121759312/1131095496597970976" TargetMode="External"/><Relationship Id="rId48" Type="http://schemas.openxmlformats.org/officeDocument/2006/relationships/hyperlink" Target="https://codeforces.com/problemset?tags=2700-2700" TargetMode="External"/><Relationship Id="rId47" Type="http://schemas.openxmlformats.org/officeDocument/2006/relationships/hyperlink" Target="https://discord.com/channels/783354935474389002/1082437521121759312/1093691777405436055" TargetMode="External"/><Relationship Id="rId49" Type="http://schemas.openxmlformats.org/officeDocument/2006/relationships/hyperlink" Target="https://codeforces.com/problemset/problem/750/F" TargetMode="External"/><Relationship Id="rId5" Type="http://schemas.openxmlformats.org/officeDocument/2006/relationships/hyperlink" Target="https://discord.com/channels/783354935474389002/1082437521121759312/1131381428593098814" TargetMode="External"/><Relationship Id="rId6" Type="http://schemas.openxmlformats.org/officeDocument/2006/relationships/hyperlink" Target="https://codeforces.com/problemset/problem/1738/G" TargetMode="External"/><Relationship Id="rId7" Type="http://schemas.openxmlformats.org/officeDocument/2006/relationships/hyperlink" Target="https://discord.com/channels/783354935474389002/1082437521121759312/1131352102459945100" TargetMode="External"/><Relationship Id="rId8" Type="http://schemas.openxmlformats.org/officeDocument/2006/relationships/hyperlink" Target="https://codeforces.com/problemset/problem/1764/G2" TargetMode="External"/><Relationship Id="rId73" Type="http://schemas.openxmlformats.org/officeDocument/2006/relationships/hyperlink" Target="https://discord.com/channels/783354935474389002/1082437521121759312/1092575203030208564" TargetMode="External"/><Relationship Id="rId72" Type="http://schemas.openxmlformats.org/officeDocument/2006/relationships/hyperlink" Target="https://codeforces.com/problemset/problem/1774/F2" TargetMode="External"/><Relationship Id="rId31" Type="http://schemas.openxmlformats.org/officeDocument/2006/relationships/hyperlink" Target="https://discord.com/channels/783354935474389002/1082437521121759312/1121622748435841134" TargetMode="External"/><Relationship Id="rId75" Type="http://schemas.openxmlformats.org/officeDocument/2006/relationships/hyperlink" Target="https://discord.com/channels/783354935474389002/1082437521121759312/1092556119131574303" TargetMode="External"/><Relationship Id="rId30" Type="http://schemas.openxmlformats.org/officeDocument/2006/relationships/hyperlink" Target="https://codeforces.com/problemset/problem/1830/D" TargetMode="External"/><Relationship Id="rId74" Type="http://schemas.openxmlformats.org/officeDocument/2006/relationships/hyperlink" Target="https://codeforces.com/problemset/problem/1781/F" TargetMode="External"/><Relationship Id="rId33" Type="http://schemas.openxmlformats.org/officeDocument/2006/relationships/hyperlink" Target="https://discord.com/channels/783354935474389002/1082437521121759312/1095826574026227772" TargetMode="External"/><Relationship Id="rId77" Type="http://schemas.openxmlformats.org/officeDocument/2006/relationships/hyperlink" Target="https://discord.com/channels/783354935474389002/1082437521121759312/1085994441300516874" TargetMode="External"/><Relationship Id="rId32" Type="http://schemas.openxmlformats.org/officeDocument/2006/relationships/hyperlink" Target="https://codeforces.com/problemset/problem/722/F" TargetMode="External"/><Relationship Id="rId76" Type="http://schemas.openxmlformats.org/officeDocument/2006/relationships/hyperlink" Target="https://codeforces.com/problemset/problem/1801/F" TargetMode="External"/><Relationship Id="rId35" Type="http://schemas.openxmlformats.org/officeDocument/2006/relationships/hyperlink" Target="https://codeforces.com/problemset/problem/685/E" TargetMode="External"/><Relationship Id="rId79" Type="http://schemas.openxmlformats.org/officeDocument/2006/relationships/hyperlink" Target="https://discord.com/channels/783354935474389002/1082437521121759312/1086021323169464420" TargetMode="External"/><Relationship Id="rId34" Type="http://schemas.openxmlformats.org/officeDocument/2006/relationships/hyperlink" Target="https://codeforces.com/problemset/problem/698/E" TargetMode="External"/><Relationship Id="rId78" Type="http://schemas.openxmlformats.org/officeDocument/2006/relationships/hyperlink" Target="https://codeforces.com/problemset/problem/1799/F" TargetMode="External"/><Relationship Id="rId71" Type="http://schemas.openxmlformats.org/officeDocument/2006/relationships/hyperlink" Target="https://discord.com/channels/783354935474389002/1082437521121759312/1092622241528827924" TargetMode="External"/><Relationship Id="rId70" Type="http://schemas.openxmlformats.org/officeDocument/2006/relationships/hyperlink" Target="https://codeforces.com/problemset/problem/1750/F" TargetMode="External"/><Relationship Id="rId37" Type="http://schemas.openxmlformats.org/officeDocument/2006/relationships/hyperlink" Target="https://codeforces.com/problemset/problem/671/C" TargetMode="External"/><Relationship Id="rId36" Type="http://schemas.openxmlformats.org/officeDocument/2006/relationships/hyperlink" Target="https://discord.com/channels/783354935474389002/1082437521121759312/1095835479888367616" TargetMode="External"/><Relationship Id="rId39" Type="http://schemas.openxmlformats.org/officeDocument/2006/relationships/hyperlink" Target="https://codeforces.com/problemset/problem/639/E" TargetMode="External"/><Relationship Id="rId38" Type="http://schemas.openxmlformats.org/officeDocument/2006/relationships/hyperlink" Target="https://discord.com/channels/783354935474389002/1082437521121759312/1095838795062067331" TargetMode="External"/><Relationship Id="rId62" Type="http://schemas.openxmlformats.org/officeDocument/2006/relationships/hyperlink" Target="https://codeforces.com/problemset/problem/833/D" TargetMode="External"/><Relationship Id="rId61" Type="http://schemas.openxmlformats.org/officeDocument/2006/relationships/hyperlink" Target="https://discord.com/channels/783354935474389002/1082437521121759312/1092920943648702626" TargetMode="External"/><Relationship Id="rId20" Type="http://schemas.openxmlformats.org/officeDocument/2006/relationships/hyperlink" Target="https://codeforces.com/problemset/problem/1773/G" TargetMode="External"/><Relationship Id="rId64" Type="http://schemas.openxmlformats.org/officeDocument/2006/relationships/hyperlink" Target="https://codeforces.com/problemset/problem/830/D" TargetMode="External"/><Relationship Id="rId63" Type="http://schemas.openxmlformats.org/officeDocument/2006/relationships/hyperlink" Target="https://discord.com/channels/783354935474389002/1082437521121759312/1092937129383952514" TargetMode="External"/><Relationship Id="rId22" Type="http://schemas.openxmlformats.org/officeDocument/2006/relationships/hyperlink" Target="https://codeforces.com/problemset/problem/1776/D" TargetMode="External"/><Relationship Id="rId66" Type="http://schemas.openxmlformats.org/officeDocument/2006/relationships/hyperlink" Target="https://codeforces.com/problemset/problem/819/E" TargetMode="External"/><Relationship Id="rId21" Type="http://schemas.openxmlformats.org/officeDocument/2006/relationships/hyperlink" Target="https://discord.com/channels/783354935474389002/1082437521121759312/1129582158760116235" TargetMode="External"/><Relationship Id="rId65" Type="http://schemas.openxmlformats.org/officeDocument/2006/relationships/hyperlink" Target="https://discord.com/channels/783354935474389002/1082437521121759312/1092962723714826300" TargetMode="External"/><Relationship Id="rId24" Type="http://schemas.openxmlformats.org/officeDocument/2006/relationships/hyperlink" Target="https://codeforces.com/problemset/problem/1810/F" TargetMode="External"/><Relationship Id="rId68" Type="http://schemas.openxmlformats.org/officeDocument/2006/relationships/hyperlink" Target="https://codeforces.com/problemset/problem/1672/H" TargetMode="External"/><Relationship Id="rId23" Type="http://schemas.openxmlformats.org/officeDocument/2006/relationships/hyperlink" Target="https://codeforces.com/problemset/problem/1779/G" TargetMode="External"/><Relationship Id="rId67" Type="http://schemas.openxmlformats.org/officeDocument/2006/relationships/hyperlink" Target="https://discord.com/channels/783354935474389002/1082437521121759312/1093012510078160896" TargetMode="External"/><Relationship Id="rId60" Type="http://schemas.openxmlformats.org/officeDocument/2006/relationships/hyperlink" Target="https://codeforces.com/problemset/problem/850/D" TargetMode="External"/><Relationship Id="rId26" Type="http://schemas.openxmlformats.org/officeDocument/2006/relationships/hyperlink" Target="https://codeforces.com/problemset/problem/1827/D" TargetMode="External"/><Relationship Id="rId25" Type="http://schemas.openxmlformats.org/officeDocument/2006/relationships/hyperlink" Target="https://discord.com/channels/783354935474389002/1082437521121759312/1121967777272573952" TargetMode="External"/><Relationship Id="rId69" Type="http://schemas.openxmlformats.org/officeDocument/2006/relationships/hyperlink" Target="https://discord.com/channels/783354935474389002/1082437521121759312/1092640366383083551" TargetMode="External"/><Relationship Id="rId28" Type="http://schemas.openxmlformats.org/officeDocument/2006/relationships/hyperlink" Target="https://codeforces.com/problemset/problem/1819/D" TargetMode="External"/><Relationship Id="rId27" Type="http://schemas.openxmlformats.org/officeDocument/2006/relationships/hyperlink" Target="https://discord.com/channels/783354935474389002/1082437521121759312/1121928403268935722" TargetMode="External"/><Relationship Id="rId29" Type="http://schemas.openxmlformats.org/officeDocument/2006/relationships/hyperlink" Target="https://discord.com/channels/783354935474389002/1082437521121759312/1121940468842889317" TargetMode="External"/><Relationship Id="rId51" Type="http://schemas.openxmlformats.org/officeDocument/2006/relationships/hyperlink" Target="https://codeforces.com/problemset/page/3?tags=2800-2800" TargetMode="External"/><Relationship Id="rId95" Type="http://schemas.openxmlformats.org/officeDocument/2006/relationships/hyperlink" Target="https://discord.com/channels/783354935474389002/1082437521121759312/1095812498810216539" TargetMode="External"/><Relationship Id="rId50" Type="http://schemas.openxmlformats.org/officeDocument/2006/relationships/hyperlink" Target="https://discord.com/channels/783354935474389002/1082437521121759312/1093730542442262619" TargetMode="External"/><Relationship Id="rId94" Type="http://schemas.openxmlformats.org/officeDocument/2006/relationships/hyperlink" Target="https://codeforces.com/group/Jch2iQtHGh/contest/433989/problem/H" TargetMode="External"/><Relationship Id="rId53" Type="http://schemas.openxmlformats.org/officeDocument/2006/relationships/hyperlink" Target="https://discord.com/channels/783354935474389002/1082437521121759312/1093738252185387029" TargetMode="External"/><Relationship Id="rId52" Type="http://schemas.openxmlformats.org/officeDocument/2006/relationships/hyperlink" Target="https://codeforces.com/problemset/problem/736/D" TargetMode="External"/><Relationship Id="rId96" Type="http://schemas.openxmlformats.org/officeDocument/2006/relationships/drawing" Target="../drawings/drawing1.xml"/><Relationship Id="rId11" Type="http://schemas.openxmlformats.org/officeDocument/2006/relationships/hyperlink" Target="https://discord.com/channels/783354935474389002/1082437521121759312/1131095496597970976" TargetMode="External"/><Relationship Id="rId55" Type="http://schemas.openxmlformats.org/officeDocument/2006/relationships/hyperlink" Target="https://discord.com/channels/783354935474389002/1082437521121759312/1093354833437806664" TargetMode="External"/><Relationship Id="rId10" Type="http://schemas.openxmlformats.org/officeDocument/2006/relationships/hyperlink" Target="https://codeforces.com/problemset/problem/1764/G1" TargetMode="External"/><Relationship Id="rId54" Type="http://schemas.openxmlformats.org/officeDocument/2006/relationships/hyperlink" Target="https://codeforces.com/problemset/problem/794/F" TargetMode="External"/><Relationship Id="rId13" Type="http://schemas.openxmlformats.org/officeDocument/2006/relationships/hyperlink" Target="https://codeforces.com/problemset/problem/1773/J" TargetMode="External"/><Relationship Id="rId57" Type="http://schemas.openxmlformats.org/officeDocument/2006/relationships/hyperlink" Target="https://discord.com/channels/783354935474389002/1082437521121759312/1093364597349687396" TargetMode="External"/><Relationship Id="rId12" Type="http://schemas.openxmlformats.org/officeDocument/2006/relationships/hyperlink" Target="https://codeforces.com/problemset/problem/1765/J" TargetMode="External"/><Relationship Id="rId56" Type="http://schemas.openxmlformats.org/officeDocument/2006/relationships/hyperlink" Target="https://codeforces.com/problemset/problem/794/E" TargetMode="External"/><Relationship Id="rId91" Type="http://schemas.openxmlformats.org/officeDocument/2006/relationships/hyperlink" Target="https://discord.com/channels/783354935474389002/1082437521121759312/1082801619319660686" TargetMode="External"/><Relationship Id="rId90" Type="http://schemas.openxmlformats.org/officeDocument/2006/relationships/hyperlink" Target="https://codeforces.com/problemset/problem/1784/E" TargetMode="External"/><Relationship Id="rId93" Type="http://schemas.openxmlformats.org/officeDocument/2006/relationships/hyperlink" Target="https://open.kattis.com/problems/basincity" TargetMode="External"/><Relationship Id="rId92" Type="http://schemas.openxmlformats.org/officeDocument/2006/relationships/hyperlink" Target="https://codeforces.com/problemset/problem/1672/F2" TargetMode="External"/><Relationship Id="rId15" Type="http://schemas.openxmlformats.org/officeDocument/2006/relationships/hyperlink" Target="https://codeforces.com/problemset/problem/1810/H" TargetMode="External"/><Relationship Id="rId59" Type="http://schemas.openxmlformats.org/officeDocument/2006/relationships/hyperlink" Target="https://discord.com/channels/783354935474389002/1082437521121759312/1093345258298941531" TargetMode="External"/><Relationship Id="rId14" Type="http://schemas.openxmlformats.org/officeDocument/2006/relationships/hyperlink" Target="https://discord.com/channels/783354935474389002/1082437521121759312/1130652246904942745" TargetMode="External"/><Relationship Id="rId58" Type="http://schemas.openxmlformats.org/officeDocument/2006/relationships/hyperlink" Target="https://codeforces.com/problemset/problem/815/D" TargetMode="External"/><Relationship Id="rId17" Type="http://schemas.openxmlformats.org/officeDocument/2006/relationships/hyperlink" Target="https://discord.com/channels/783354935474389002/1082437521121759312/1129611288595664906" TargetMode="External"/><Relationship Id="rId16" Type="http://schemas.openxmlformats.org/officeDocument/2006/relationships/hyperlink" Target="https://codeforces.com/problemset/problem/1835/D" TargetMode="External"/><Relationship Id="rId19" Type="http://schemas.openxmlformats.org/officeDocument/2006/relationships/hyperlink" Target="https://discord.com/channels/783354935474389002/1082437521121759312/1129584808792686683" TargetMode="External"/><Relationship Id="rId18" Type="http://schemas.openxmlformats.org/officeDocument/2006/relationships/hyperlink" Target="https://codeforces.com/problemset/problem/1765/I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odeforces.com/gym/104314" TargetMode="External"/><Relationship Id="rId2" Type="http://schemas.openxmlformats.org/officeDocument/2006/relationships/hyperlink" Target="https://codeforces.com/gym/104312" TargetMode="External"/><Relationship Id="rId3" Type="http://schemas.openxmlformats.org/officeDocument/2006/relationships/hyperlink" Target="https://codeforces.com/gym/104311" TargetMode="External"/><Relationship Id="rId4" Type="http://schemas.openxmlformats.org/officeDocument/2006/relationships/hyperlink" Target="https://codeforces.com/gym/104308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codeforces.com/gym/104301" TargetMode="External"/><Relationship Id="rId6" Type="http://schemas.openxmlformats.org/officeDocument/2006/relationships/hyperlink" Target="https://codeforces.com/gym/104289" TargetMode="External"/><Relationship Id="rId7" Type="http://schemas.openxmlformats.org/officeDocument/2006/relationships/hyperlink" Target="https://codeforces.com/gym/104285" TargetMode="External"/><Relationship Id="rId8" Type="http://schemas.openxmlformats.org/officeDocument/2006/relationships/hyperlink" Target="https://codeforces.com/gym/104282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codeforces.com/contest/1684" TargetMode="External"/><Relationship Id="rId42" Type="http://schemas.openxmlformats.org/officeDocument/2006/relationships/hyperlink" Target="https://codeforces.com/contest/1667" TargetMode="External"/><Relationship Id="rId41" Type="http://schemas.openxmlformats.org/officeDocument/2006/relationships/hyperlink" Target="https://codeforces.com/contest/1677" TargetMode="External"/><Relationship Id="rId44" Type="http://schemas.openxmlformats.org/officeDocument/2006/relationships/hyperlink" Target="https://codeforces.com/contest/1889" TargetMode="External"/><Relationship Id="rId43" Type="http://schemas.openxmlformats.org/officeDocument/2006/relationships/hyperlink" Target="https://codeforces.com/contest/1876" TargetMode="External"/><Relationship Id="rId46" Type="http://schemas.openxmlformats.org/officeDocument/2006/relationships/hyperlink" Target="https://codeforces.com/contest/1896" TargetMode="External"/><Relationship Id="rId45" Type="http://schemas.openxmlformats.org/officeDocument/2006/relationships/hyperlink" Target="https://codeforces.com/contest/1893" TargetMode="External"/><Relationship Id="rId1" Type="http://schemas.openxmlformats.org/officeDocument/2006/relationships/hyperlink" Target="https://codeforces.com/contest/878" TargetMode="External"/><Relationship Id="rId2" Type="http://schemas.openxmlformats.org/officeDocument/2006/relationships/hyperlink" Target="https://codeforces.com/contest/1492" TargetMode="External"/><Relationship Id="rId3" Type="http://schemas.openxmlformats.org/officeDocument/2006/relationships/hyperlink" Target="https://codeforces.com/contest/89" TargetMode="External"/><Relationship Id="rId4" Type="http://schemas.openxmlformats.org/officeDocument/2006/relationships/hyperlink" Target="https://codeforces.com/contest/1491" TargetMode="External"/><Relationship Id="rId9" Type="http://schemas.openxmlformats.org/officeDocument/2006/relationships/hyperlink" Target="https://codeforces.com/contest/908" TargetMode="External"/><Relationship Id="rId48" Type="http://schemas.openxmlformats.org/officeDocument/2006/relationships/hyperlink" Target="https://codeforces.com/contest/1887" TargetMode="External"/><Relationship Id="rId47" Type="http://schemas.openxmlformats.org/officeDocument/2006/relationships/hyperlink" Target="https://codeforces.com/contest/1874" TargetMode="External"/><Relationship Id="rId49" Type="http://schemas.openxmlformats.org/officeDocument/2006/relationships/hyperlink" Target="https://codeforces.com/contest/1656" TargetMode="External"/><Relationship Id="rId5" Type="http://schemas.openxmlformats.org/officeDocument/2006/relationships/hyperlink" Target="https://codeforces.com/contest/1025" TargetMode="External"/><Relationship Id="rId6" Type="http://schemas.openxmlformats.org/officeDocument/2006/relationships/hyperlink" Target="https://codeforces.com/contest/901" TargetMode="External"/><Relationship Id="rId7" Type="http://schemas.openxmlformats.org/officeDocument/2006/relationships/hyperlink" Target="https://codeforces.com/contest/786" TargetMode="External"/><Relationship Id="rId8" Type="http://schemas.openxmlformats.org/officeDocument/2006/relationships/hyperlink" Target="https://codeforces.com/contest/1039" TargetMode="External"/><Relationship Id="rId31" Type="http://schemas.openxmlformats.org/officeDocument/2006/relationships/hyperlink" Target="https://codeforces.com/contest/1707" TargetMode="External"/><Relationship Id="rId30" Type="http://schemas.openxmlformats.org/officeDocument/2006/relationships/hyperlink" Target="https://codeforces.com/contest/1854" TargetMode="External"/><Relationship Id="rId33" Type="http://schemas.openxmlformats.org/officeDocument/2006/relationships/hyperlink" Target="https://codeforces.com/contest/1693" TargetMode="External"/><Relationship Id="rId32" Type="http://schemas.openxmlformats.org/officeDocument/2006/relationships/hyperlink" Target="https://codeforces.com/contest/1696" TargetMode="External"/><Relationship Id="rId35" Type="http://schemas.openxmlformats.org/officeDocument/2006/relationships/hyperlink" Target="https://codeforces.com/contest/1687" TargetMode="External"/><Relationship Id="rId34" Type="http://schemas.openxmlformats.org/officeDocument/2006/relationships/hyperlink" Target="https://codeforces.com/contest/1863" TargetMode="External"/><Relationship Id="rId37" Type="http://schemas.openxmlformats.org/officeDocument/2006/relationships/hyperlink" Target="https://codeforces.com/contest/1864" TargetMode="External"/><Relationship Id="rId36" Type="http://schemas.openxmlformats.org/officeDocument/2006/relationships/hyperlink" Target="https://codeforces.com/contest/1868" TargetMode="External"/><Relationship Id="rId39" Type="http://schemas.openxmlformats.org/officeDocument/2006/relationships/hyperlink" Target="https://codeforces.com/contest/1685" TargetMode="External"/><Relationship Id="rId38" Type="http://schemas.openxmlformats.org/officeDocument/2006/relationships/hyperlink" Target="https://codeforces.com/contest/1870" TargetMode="External"/><Relationship Id="rId20" Type="http://schemas.openxmlformats.org/officeDocument/2006/relationships/hyperlink" Target="https://codeforces.com/contest/1804" TargetMode="External"/><Relationship Id="rId22" Type="http://schemas.openxmlformats.org/officeDocument/2006/relationships/hyperlink" Target="https://codeforces.com/contest/1779" TargetMode="External"/><Relationship Id="rId21" Type="http://schemas.openxmlformats.org/officeDocument/2006/relationships/hyperlink" Target="https://codeforces.com/contest/1819" TargetMode="External"/><Relationship Id="rId24" Type="http://schemas.openxmlformats.org/officeDocument/2006/relationships/hyperlink" Target="https://codeforces.com/contest/1737" TargetMode="External"/><Relationship Id="rId23" Type="http://schemas.openxmlformats.org/officeDocument/2006/relationships/hyperlink" Target="https://codeforces.com/contest/1787" TargetMode="External"/><Relationship Id="rId26" Type="http://schemas.openxmlformats.org/officeDocument/2006/relationships/hyperlink" Target="https://codeforces.com/contest/1824" TargetMode="External"/><Relationship Id="rId25" Type="http://schemas.openxmlformats.org/officeDocument/2006/relationships/hyperlink" Target="https://codeforces.com/contest/1738" TargetMode="External"/><Relationship Id="rId28" Type="http://schemas.openxmlformats.org/officeDocument/2006/relationships/hyperlink" Target="https://codeforces.com/contest/1718" TargetMode="External"/><Relationship Id="rId27" Type="http://schemas.openxmlformats.org/officeDocument/2006/relationships/hyperlink" Target="https://codeforces.com/contest/1844" TargetMode="External"/><Relationship Id="rId29" Type="http://schemas.openxmlformats.org/officeDocument/2006/relationships/hyperlink" Target="https://codeforces.com/contest/1852" TargetMode="External"/><Relationship Id="rId51" Type="http://schemas.openxmlformats.org/officeDocument/2006/relationships/hyperlink" Target="https://codeforces.com/contest/1637" TargetMode="External"/><Relationship Id="rId50" Type="http://schemas.openxmlformats.org/officeDocument/2006/relationships/hyperlink" Target="https://codeforces.com/contest/1648" TargetMode="External"/><Relationship Id="rId53" Type="http://schemas.openxmlformats.org/officeDocument/2006/relationships/hyperlink" Target="https://codeforces.com/contest/1924" TargetMode="External"/><Relationship Id="rId52" Type="http://schemas.openxmlformats.org/officeDocument/2006/relationships/hyperlink" Target="https://codeforces.com/contest/1621" TargetMode="External"/><Relationship Id="rId11" Type="http://schemas.openxmlformats.org/officeDocument/2006/relationships/hyperlink" Target="https://codeforces.com/contest/1495" TargetMode="External"/><Relationship Id="rId55" Type="http://schemas.openxmlformats.org/officeDocument/2006/relationships/hyperlink" Target="https://codeforces.com/contest/1909" TargetMode="External"/><Relationship Id="rId10" Type="http://schemas.openxmlformats.org/officeDocument/2006/relationships/hyperlink" Target="https://codeforces.com/contest/868" TargetMode="External"/><Relationship Id="rId54" Type="http://schemas.openxmlformats.org/officeDocument/2006/relationships/hyperlink" Target="https://codeforces.com/contest/1919" TargetMode="External"/><Relationship Id="rId13" Type="http://schemas.openxmlformats.org/officeDocument/2006/relationships/hyperlink" Target="https://codeforces.com/contest/1483" TargetMode="External"/><Relationship Id="rId57" Type="http://schemas.openxmlformats.org/officeDocument/2006/relationships/hyperlink" Target="https://codeforces.com/contest/1630" TargetMode="External"/><Relationship Id="rId12" Type="http://schemas.openxmlformats.org/officeDocument/2006/relationships/hyperlink" Target="https://codeforces.com/contest/1500" TargetMode="External"/><Relationship Id="rId56" Type="http://schemas.openxmlformats.org/officeDocument/2006/relationships/hyperlink" Target="https://codeforces.com/contest/1641" TargetMode="External"/><Relationship Id="rId15" Type="http://schemas.openxmlformats.org/officeDocument/2006/relationships/hyperlink" Target="https://codeforces.com/contest/1515" TargetMode="External"/><Relationship Id="rId14" Type="http://schemas.openxmlformats.org/officeDocument/2006/relationships/hyperlink" Target="https://codeforces.com/contest/1517" TargetMode="External"/><Relationship Id="rId58" Type="http://schemas.openxmlformats.org/officeDocument/2006/relationships/drawing" Target="../drawings/drawing3.xml"/><Relationship Id="rId17" Type="http://schemas.openxmlformats.org/officeDocument/2006/relationships/hyperlink" Target="https://codeforces.com/contest/1528" TargetMode="External"/><Relationship Id="rId16" Type="http://schemas.openxmlformats.org/officeDocument/2006/relationships/hyperlink" Target="https://codeforces.com/contest/1540" TargetMode="External"/><Relationship Id="rId19" Type="http://schemas.openxmlformats.org/officeDocument/2006/relationships/hyperlink" Target="https://codeforces.com/contest/1815/standings" TargetMode="External"/><Relationship Id="rId18" Type="http://schemas.openxmlformats.org/officeDocument/2006/relationships/hyperlink" Target="https://codeforces.com/contest/1740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codeforces.com/contest/1684" TargetMode="External"/><Relationship Id="rId42" Type="http://schemas.openxmlformats.org/officeDocument/2006/relationships/hyperlink" Target="https://codeforces.com/contest/1667" TargetMode="External"/><Relationship Id="rId41" Type="http://schemas.openxmlformats.org/officeDocument/2006/relationships/hyperlink" Target="https://codeforces.com/contest/1677" TargetMode="External"/><Relationship Id="rId44" Type="http://schemas.openxmlformats.org/officeDocument/2006/relationships/hyperlink" Target="https://codeforces.com/contest/1889" TargetMode="External"/><Relationship Id="rId43" Type="http://schemas.openxmlformats.org/officeDocument/2006/relationships/hyperlink" Target="https://codeforces.com/contest/1876" TargetMode="External"/><Relationship Id="rId46" Type="http://schemas.openxmlformats.org/officeDocument/2006/relationships/hyperlink" Target="https://codeforces.com/contest/1896" TargetMode="External"/><Relationship Id="rId45" Type="http://schemas.openxmlformats.org/officeDocument/2006/relationships/hyperlink" Target="https://codeforces.com/contest/1893" TargetMode="External"/><Relationship Id="rId1" Type="http://schemas.openxmlformats.org/officeDocument/2006/relationships/hyperlink" Target="https://codeforces.com/contest/878" TargetMode="External"/><Relationship Id="rId2" Type="http://schemas.openxmlformats.org/officeDocument/2006/relationships/hyperlink" Target="https://codeforces.com/contest/1492" TargetMode="External"/><Relationship Id="rId3" Type="http://schemas.openxmlformats.org/officeDocument/2006/relationships/hyperlink" Target="https://codeforces.com/contest/89" TargetMode="External"/><Relationship Id="rId4" Type="http://schemas.openxmlformats.org/officeDocument/2006/relationships/hyperlink" Target="https://codeforces.com/contest/1491" TargetMode="External"/><Relationship Id="rId9" Type="http://schemas.openxmlformats.org/officeDocument/2006/relationships/hyperlink" Target="https://codeforces.com/contest/908" TargetMode="External"/><Relationship Id="rId48" Type="http://schemas.openxmlformats.org/officeDocument/2006/relationships/hyperlink" Target="https://codeforces.com/contest/1887" TargetMode="External"/><Relationship Id="rId47" Type="http://schemas.openxmlformats.org/officeDocument/2006/relationships/hyperlink" Target="https://codeforces.com/contest/1874" TargetMode="External"/><Relationship Id="rId49" Type="http://schemas.openxmlformats.org/officeDocument/2006/relationships/hyperlink" Target="https://codeforces.com/contest/1656" TargetMode="External"/><Relationship Id="rId5" Type="http://schemas.openxmlformats.org/officeDocument/2006/relationships/hyperlink" Target="https://codeforces.com/contest/1025" TargetMode="External"/><Relationship Id="rId6" Type="http://schemas.openxmlformats.org/officeDocument/2006/relationships/hyperlink" Target="https://codeforces.com/contest/901" TargetMode="External"/><Relationship Id="rId7" Type="http://schemas.openxmlformats.org/officeDocument/2006/relationships/hyperlink" Target="https://codeforces.com/contest/786" TargetMode="External"/><Relationship Id="rId8" Type="http://schemas.openxmlformats.org/officeDocument/2006/relationships/hyperlink" Target="https://codeforces.com/contest/1039" TargetMode="External"/><Relationship Id="rId31" Type="http://schemas.openxmlformats.org/officeDocument/2006/relationships/hyperlink" Target="https://codeforces.com/contest/1707" TargetMode="External"/><Relationship Id="rId30" Type="http://schemas.openxmlformats.org/officeDocument/2006/relationships/hyperlink" Target="https://codeforces.com/contest/1854" TargetMode="External"/><Relationship Id="rId33" Type="http://schemas.openxmlformats.org/officeDocument/2006/relationships/hyperlink" Target="https://codeforces.com/contest/1693" TargetMode="External"/><Relationship Id="rId32" Type="http://schemas.openxmlformats.org/officeDocument/2006/relationships/hyperlink" Target="https://codeforces.com/contest/1696" TargetMode="External"/><Relationship Id="rId35" Type="http://schemas.openxmlformats.org/officeDocument/2006/relationships/hyperlink" Target="https://codeforces.com/contest/1687" TargetMode="External"/><Relationship Id="rId34" Type="http://schemas.openxmlformats.org/officeDocument/2006/relationships/hyperlink" Target="https://codeforces.com/contest/1863" TargetMode="External"/><Relationship Id="rId37" Type="http://schemas.openxmlformats.org/officeDocument/2006/relationships/hyperlink" Target="https://codeforces.com/contest/1864" TargetMode="External"/><Relationship Id="rId36" Type="http://schemas.openxmlformats.org/officeDocument/2006/relationships/hyperlink" Target="https://codeforces.com/contest/1868" TargetMode="External"/><Relationship Id="rId39" Type="http://schemas.openxmlformats.org/officeDocument/2006/relationships/hyperlink" Target="https://codeforces.com/contest/1685" TargetMode="External"/><Relationship Id="rId38" Type="http://schemas.openxmlformats.org/officeDocument/2006/relationships/hyperlink" Target="https://codeforces.com/contest/1870" TargetMode="External"/><Relationship Id="rId20" Type="http://schemas.openxmlformats.org/officeDocument/2006/relationships/hyperlink" Target="https://codeforces.com/contest/1804" TargetMode="External"/><Relationship Id="rId22" Type="http://schemas.openxmlformats.org/officeDocument/2006/relationships/hyperlink" Target="https://codeforces.com/contest/1779" TargetMode="External"/><Relationship Id="rId21" Type="http://schemas.openxmlformats.org/officeDocument/2006/relationships/hyperlink" Target="https://codeforces.com/contest/1819" TargetMode="External"/><Relationship Id="rId24" Type="http://schemas.openxmlformats.org/officeDocument/2006/relationships/hyperlink" Target="https://codeforces.com/contest/1737" TargetMode="External"/><Relationship Id="rId23" Type="http://schemas.openxmlformats.org/officeDocument/2006/relationships/hyperlink" Target="https://codeforces.com/contest/1787" TargetMode="External"/><Relationship Id="rId26" Type="http://schemas.openxmlformats.org/officeDocument/2006/relationships/hyperlink" Target="https://codeforces.com/contest/1824" TargetMode="External"/><Relationship Id="rId25" Type="http://schemas.openxmlformats.org/officeDocument/2006/relationships/hyperlink" Target="https://codeforces.com/contest/1738" TargetMode="External"/><Relationship Id="rId28" Type="http://schemas.openxmlformats.org/officeDocument/2006/relationships/hyperlink" Target="https://codeforces.com/contest/1718" TargetMode="External"/><Relationship Id="rId27" Type="http://schemas.openxmlformats.org/officeDocument/2006/relationships/hyperlink" Target="https://codeforces.com/contest/1844" TargetMode="External"/><Relationship Id="rId29" Type="http://schemas.openxmlformats.org/officeDocument/2006/relationships/hyperlink" Target="https://codeforces.com/contest/1852" TargetMode="External"/><Relationship Id="rId51" Type="http://schemas.openxmlformats.org/officeDocument/2006/relationships/hyperlink" Target="https://codeforces.com/contest/1637" TargetMode="External"/><Relationship Id="rId50" Type="http://schemas.openxmlformats.org/officeDocument/2006/relationships/hyperlink" Target="https://codeforces.com/contest/1648" TargetMode="External"/><Relationship Id="rId53" Type="http://schemas.openxmlformats.org/officeDocument/2006/relationships/hyperlink" Target="https://codeforces.com/contest/1924" TargetMode="External"/><Relationship Id="rId52" Type="http://schemas.openxmlformats.org/officeDocument/2006/relationships/hyperlink" Target="https://codeforces.com/contest/1621" TargetMode="External"/><Relationship Id="rId11" Type="http://schemas.openxmlformats.org/officeDocument/2006/relationships/hyperlink" Target="https://codeforces.com/contest/1495" TargetMode="External"/><Relationship Id="rId55" Type="http://schemas.openxmlformats.org/officeDocument/2006/relationships/hyperlink" Target="https://codeforces.com/contest/1909" TargetMode="External"/><Relationship Id="rId10" Type="http://schemas.openxmlformats.org/officeDocument/2006/relationships/hyperlink" Target="https://codeforces.com/contest/868" TargetMode="External"/><Relationship Id="rId54" Type="http://schemas.openxmlformats.org/officeDocument/2006/relationships/hyperlink" Target="https://codeforces.com/contest/1919" TargetMode="External"/><Relationship Id="rId13" Type="http://schemas.openxmlformats.org/officeDocument/2006/relationships/hyperlink" Target="https://codeforces.com/contest/1483" TargetMode="External"/><Relationship Id="rId57" Type="http://schemas.openxmlformats.org/officeDocument/2006/relationships/hyperlink" Target="https://codeforces.com/contest/1630" TargetMode="External"/><Relationship Id="rId12" Type="http://schemas.openxmlformats.org/officeDocument/2006/relationships/hyperlink" Target="https://codeforces.com/contest/1500" TargetMode="External"/><Relationship Id="rId56" Type="http://schemas.openxmlformats.org/officeDocument/2006/relationships/hyperlink" Target="https://codeforces.com/contest/1641" TargetMode="External"/><Relationship Id="rId15" Type="http://schemas.openxmlformats.org/officeDocument/2006/relationships/hyperlink" Target="https://codeforces.com/contest/1515" TargetMode="External"/><Relationship Id="rId14" Type="http://schemas.openxmlformats.org/officeDocument/2006/relationships/hyperlink" Target="https://codeforces.com/contest/1517" TargetMode="External"/><Relationship Id="rId58" Type="http://schemas.openxmlformats.org/officeDocument/2006/relationships/drawing" Target="../drawings/drawing4.xml"/><Relationship Id="rId17" Type="http://schemas.openxmlformats.org/officeDocument/2006/relationships/hyperlink" Target="https://codeforces.com/contest/1528" TargetMode="External"/><Relationship Id="rId16" Type="http://schemas.openxmlformats.org/officeDocument/2006/relationships/hyperlink" Target="https://codeforces.com/contest/1540" TargetMode="External"/><Relationship Id="rId19" Type="http://schemas.openxmlformats.org/officeDocument/2006/relationships/hyperlink" Target="https://codeforces.com/contest/1815/standings" TargetMode="External"/><Relationship Id="rId18" Type="http://schemas.openxmlformats.org/officeDocument/2006/relationships/hyperlink" Target="https://codeforces.com/contest/1740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codeforces.com/contest/1349" TargetMode="External"/><Relationship Id="rId42" Type="http://schemas.openxmlformats.org/officeDocument/2006/relationships/hyperlink" Target="https://codeforces.com/contest/1368" TargetMode="External"/><Relationship Id="rId41" Type="http://schemas.openxmlformats.org/officeDocument/2006/relationships/hyperlink" Target="https://codeforces.com/contest/1361" TargetMode="External"/><Relationship Id="rId44" Type="http://schemas.openxmlformats.org/officeDocument/2006/relationships/hyperlink" Target="https://codeforces.com/contest/1381" TargetMode="External"/><Relationship Id="rId43" Type="http://schemas.openxmlformats.org/officeDocument/2006/relationships/hyperlink" Target="https://codeforces.com/contest/1375" TargetMode="External"/><Relationship Id="rId46" Type="http://schemas.openxmlformats.org/officeDocument/2006/relationships/hyperlink" Target="https://codeforces.com/contest/1394" TargetMode="External"/><Relationship Id="rId45" Type="http://schemas.openxmlformats.org/officeDocument/2006/relationships/hyperlink" Target="https://codeforces.com/contest/1383" TargetMode="External"/><Relationship Id="rId1" Type="http://schemas.openxmlformats.org/officeDocument/2006/relationships/hyperlink" Target="https://codeforces.com/contest/1173" TargetMode="External"/><Relationship Id="rId2" Type="http://schemas.openxmlformats.org/officeDocument/2006/relationships/hyperlink" Target="https://codeforces.com/contest/1176" TargetMode="External"/><Relationship Id="rId3" Type="http://schemas.openxmlformats.org/officeDocument/2006/relationships/hyperlink" Target="https://codeforces.com/contest/1181" TargetMode="External"/><Relationship Id="rId4" Type="http://schemas.openxmlformats.org/officeDocument/2006/relationships/hyperlink" Target="https://codeforces.com/contest/1185" TargetMode="External"/><Relationship Id="rId9" Type="http://schemas.openxmlformats.org/officeDocument/2006/relationships/hyperlink" Target="https://codeforces.com/contest/1194" TargetMode="External"/><Relationship Id="rId48" Type="http://schemas.openxmlformats.org/officeDocument/2006/relationships/hyperlink" Target="https://codeforces.com/contest/1416" TargetMode="External"/><Relationship Id="rId47" Type="http://schemas.openxmlformats.org/officeDocument/2006/relationships/hyperlink" Target="https://codeforces.com/contest/1396" TargetMode="External"/><Relationship Id="rId49" Type="http://schemas.openxmlformats.org/officeDocument/2006/relationships/hyperlink" Target="https://codeforces.com/contest/1427" TargetMode="External"/><Relationship Id="rId5" Type="http://schemas.openxmlformats.org/officeDocument/2006/relationships/hyperlink" Target="https://codeforces.com/contest/1180" TargetMode="External"/><Relationship Id="rId6" Type="http://schemas.openxmlformats.org/officeDocument/2006/relationships/hyperlink" Target="https://codeforces.com/contest/1187" TargetMode="External"/><Relationship Id="rId7" Type="http://schemas.openxmlformats.org/officeDocument/2006/relationships/hyperlink" Target="https://codeforces.com/contest/1189" TargetMode="External"/><Relationship Id="rId8" Type="http://schemas.openxmlformats.org/officeDocument/2006/relationships/hyperlink" Target="https://codeforces.com/contest/1191" TargetMode="External"/><Relationship Id="rId31" Type="http://schemas.openxmlformats.org/officeDocument/2006/relationships/hyperlink" Target="https://codeforces.com/contest/1299" TargetMode="External"/><Relationship Id="rId30" Type="http://schemas.openxmlformats.org/officeDocument/2006/relationships/hyperlink" Target="https://codeforces.com/contest/1290" TargetMode="External"/><Relationship Id="rId33" Type="http://schemas.openxmlformats.org/officeDocument/2006/relationships/hyperlink" Target="https://codeforces.com/contest/1314" TargetMode="External"/><Relationship Id="rId32" Type="http://schemas.openxmlformats.org/officeDocument/2006/relationships/hyperlink" Target="https://codeforces.com/contest/1304" TargetMode="External"/><Relationship Id="rId35" Type="http://schemas.openxmlformats.org/officeDocument/2006/relationships/hyperlink" Target="https://codeforces.com/contest/1326" TargetMode="External"/><Relationship Id="rId34" Type="http://schemas.openxmlformats.org/officeDocument/2006/relationships/hyperlink" Target="https://codeforces.com/contest/1320" TargetMode="External"/><Relationship Id="rId37" Type="http://schemas.openxmlformats.org/officeDocument/2006/relationships/hyperlink" Target="https://codeforces.com/contest/1338" TargetMode="External"/><Relationship Id="rId36" Type="http://schemas.openxmlformats.org/officeDocument/2006/relationships/hyperlink" Target="https://codeforces.com/contest/1329" TargetMode="External"/><Relationship Id="rId39" Type="http://schemas.openxmlformats.org/officeDocument/2006/relationships/hyperlink" Target="https://codeforces.com/contest/1340" TargetMode="External"/><Relationship Id="rId38" Type="http://schemas.openxmlformats.org/officeDocument/2006/relationships/hyperlink" Target="https://codeforces.com/contest/1336" TargetMode="External"/><Relationship Id="rId20" Type="http://schemas.openxmlformats.org/officeDocument/2006/relationships/hyperlink" Target="https://codeforces.com/contest/1208" TargetMode="External"/><Relationship Id="rId22" Type="http://schemas.openxmlformats.org/officeDocument/2006/relationships/hyperlink" Target="https://codeforces.com/contest/1215" TargetMode="External"/><Relationship Id="rId21" Type="http://schemas.openxmlformats.org/officeDocument/2006/relationships/hyperlink" Target="https://codeforces.com/contest/1209" TargetMode="External"/><Relationship Id="rId24" Type="http://schemas.openxmlformats.org/officeDocument/2006/relationships/hyperlink" Target="https://codeforces.com/contest/1246" TargetMode="External"/><Relationship Id="rId23" Type="http://schemas.openxmlformats.org/officeDocument/2006/relationships/hyperlink" Target="https://codeforces.com/contest/1228" TargetMode="External"/><Relationship Id="rId26" Type="http://schemas.openxmlformats.org/officeDocument/2006/relationships/hyperlink" Target="https://codeforces.com/contest/1263" TargetMode="External"/><Relationship Id="rId25" Type="http://schemas.openxmlformats.org/officeDocument/2006/relationships/hyperlink" Target="https://codeforces.com/contest/1253" TargetMode="External"/><Relationship Id="rId28" Type="http://schemas.openxmlformats.org/officeDocument/2006/relationships/hyperlink" Target="https://codeforces.com/contest/1286" TargetMode="External"/><Relationship Id="rId27" Type="http://schemas.openxmlformats.org/officeDocument/2006/relationships/hyperlink" Target="https://codeforces.com/contest/1270" TargetMode="External"/><Relationship Id="rId29" Type="http://schemas.openxmlformats.org/officeDocument/2006/relationships/hyperlink" Target="https://codeforces.com/contest/1292" TargetMode="External"/><Relationship Id="rId51" Type="http://schemas.openxmlformats.org/officeDocument/2006/relationships/hyperlink" Target="https://codeforces.com/contest/1466" TargetMode="External"/><Relationship Id="rId50" Type="http://schemas.openxmlformats.org/officeDocument/2006/relationships/hyperlink" Target="https://codeforces.com/contest/1428" TargetMode="External"/><Relationship Id="rId53" Type="http://schemas.openxmlformats.org/officeDocument/2006/relationships/hyperlink" Target="https://codeforces.com/contest/1503" TargetMode="External"/><Relationship Id="rId52" Type="http://schemas.openxmlformats.org/officeDocument/2006/relationships/hyperlink" Target="https://codeforces.com/contest/1479" TargetMode="External"/><Relationship Id="rId11" Type="http://schemas.openxmlformats.org/officeDocument/2006/relationships/hyperlink" Target="https://codeforces.com/contest/1178" TargetMode="External"/><Relationship Id="rId10" Type="http://schemas.openxmlformats.org/officeDocument/2006/relationships/hyperlink" Target="https://codeforces.com/contest/1195" TargetMode="External"/><Relationship Id="rId54" Type="http://schemas.openxmlformats.org/officeDocument/2006/relationships/drawing" Target="../drawings/drawing5.xml"/><Relationship Id="rId13" Type="http://schemas.openxmlformats.org/officeDocument/2006/relationships/hyperlink" Target="https://codeforces.com/contest/1199" TargetMode="External"/><Relationship Id="rId12" Type="http://schemas.openxmlformats.org/officeDocument/2006/relationships/hyperlink" Target="https://codeforces.com/contest/1197" TargetMode="External"/><Relationship Id="rId15" Type="http://schemas.openxmlformats.org/officeDocument/2006/relationships/hyperlink" Target="https://codeforces.com/contest/1202" TargetMode="External"/><Relationship Id="rId14" Type="http://schemas.openxmlformats.org/officeDocument/2006/relationships/hyperlink" Target="https://codeforces.com/contest/1201" TargetMode="External"/><Relationship Id="rId17" Type="http://schemas.openxmlformats.org/officeDocument/2006/relationships/hyperlink" Target="https://codeforces.com/contest/1206" TargetMode="External"/><Relationship Id="rId16" Type="http://schemas.openxmlformats.org/officeDocument/2006/relationships/hyperlink" Target="https://codeforces.com/contest/1200" TargetMode="External"/><Relationship Id="rId19" Type="http://schemas.openxmlformats.org/officeDocument/2006/relationships/hyperlink" Target="https://codeforces.com/contest/1207" TargetMode="External"/><Relationship Id="rId18" Type="http://schemas.openxmlformats.org/officeDocument/2006/relationships/hyperlink" Target="https://codeforces.com/contest/1204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tcoder.jp/contests/arc169" TargetMode="External"/><Relationship Id="rId2" Type="http://schemas.openxmlformats.org/officeDocument/2006/relationships/hyperlink" Target="https://atcoder.jp/contests/arc168" TargetMode="External"/><Relationship Id="rId3" Type="http://schemas.openxmlformats.org/officeDocument/2006/relationships/hyperlink" Target="https://atcoder.jp/contests/arc167" TargetMode="External"/><Relationship Id="rId4" Type="http://schemas.openxmlformats.org/officeDocument/2006/relationships/hyperlink" Target="https://atcoder.jp/contests/arc166" TargetMode="External"/><Relationship Id="rId5" Type="http://schemas.openxmlformats.org/officeDocument/2006/relationships/hyperlink" Target="https://atcoder.jp/contests/arc165" TargetMode="External"/><Relationship Id="rId6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11</v>
      </c>
      <c r="B2" s="5">
        <v>3100.0</v>
      </c>
      <c r="C2" s="1"/>
      <c r="D2" s="1" t="s">
        <v>12</v>
      </c>
      <c r="E2" s="6">
        <v>45099.0</v>
      </c>
      <c r="F2" s="6">
        <v>45128.0</v>
      </c>
      <c r="G2" s="3">
        <f t="shared" ref="G2:G51" si="1">if(eq(C2, "Solved"), 1, 0)</f>
        <v>0</v>
      </c>
      <c r="H2" s="3">
        <f t="shared" ref="H2:H51" si="2">if(eq(C2, "Failed"), 1, 0)</f>
        <v>0</v>
      </c>
      <c r="I2" s="3">
        <f t="shared" ref="I2:I51" si="3">if(eq(C2, "Mindsolved"), 1, 0)</f>
        <v>0</v>
      </c>
      <c r="J2" s="3">
        <f t="shared" ref="J2:J51" si="4">if(eq(C2, "Active"), 1, 0)</f>
        <v>0</v>
      </c>
      <c r="K2" s="3">
        <f t="shared" ref="K2:K51" si="5">sum(G2:J2)</f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13</v>
      </c>
      <c r="B3" s="5">
        <v>3000.0</v>
      </c>
      <c r="C3" s="1" t="s">
        <v>6</v>
      </c>
      <c r="D3" s="7" t="s">
        <v>14</v>
      </c>
      <c r="E3" s="6">
        <v>45099.0</v>
      </c>
      <c r="F3" s="6">
        <v>45126.0</v>
      </c>
      <c r="G3" s="3">
        <f t="shared" si="1"/>
        <v>1</v>
      </c>
      <c r="H3" s="3">
        <f t="shared" si="2"/>
        <v>0</v>
      </c>
      <c r="I3" s="3">
        <f t="shared" si="3"/>
        <v>0</v>
      </c>
      <c r="J3" s="3">
        <f t="shared" si="4"/>
        <v>0</v>
      </c>
      <c r="K3" s="3">
        <f t="shared" si="5"/>
        <v>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 t="s">
        <v>15</v>
      </c>
      <c r="B4" s="5">
        <v>3000.0</v>
      </c>
      <c r="C4" s="1" t="s">
        <v>8</v>
      </c>
      <c r="D4" s="7" t="s">
        <v>16</v>
      </c>
      <c r="E4" s="6">
        <v>45099.0</v>
      </c>
      <c r="F4" s="6">
        <v>45126.0</v>
      </c>
      <c r="G4" s="3">
        <f t="shared" si="1"/>
        <v>0</v>
      </c>
      <c r="H4" s="3">
        <f t="shared" si="2"/>
        <v>0</v>
      </c>
      <c r="I4" s="3">
        <f t="shared" si="3"/>
        <v>1</v>
      </c>
      <c r="J4" s="3">
        <f t="shared" si="4"/>
        <v>0</v>
      </c>
      <c r="K4" s="3">
        <f t="shared" si="5"/>
        <v>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 t="s">
        <v>17</v>
      </c>
      <c r="B5" s="5">
        <v>2900.0</v>
      </c>
      <c r="C5" s="1" t="s">
        <v>8</v>
      </c>
      <c r="D5" s="7" t="s">
        <v>18</v>
      </c>
      <c r="E5" s="6">
        <v>45099.0</v>
      </c>
      <c r="F5" s="6">
        <v>45126.0</v>
      </c>
      <c r="G5" s="3">
        <f t="shared" si="1"/>
        <v>0</v>
      </c>
      <c r="H5" s="3">
        <f t="shared" si="2"/>
        <v>0</v>
      </c>
      <c r="I5" s="3">
        <f t="shared" si="3"/>
        <v>1</v>
      </c>
      <c r="J5" s="3">
        <f t="shared" si="4"/>
        <v>0</v>
      </c>
      <c r="K5" s="3">
        <f t="shared" si="5"/>
        <v>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19</v>
      </c>
      <c r="B6" s="5">
        <v>3000.0</v>
      </c>
      <c r="C6" s="1" t="s">
        <v>6</v>
      </c>
      <c r="D6" s="7" t="s">
        <v>20</v>
      </c>
      <c r="E6" s="6">
        <v>45099.0</v>
      </c>
      <c r="F6" s="6">
        <v>45125.0</v>
      </c>
      <c r="G6" s="3">
        <f t="shared" si="1"/>
        <v>1</v>
      </c>
      <c r="H6" s="3">
        <f t="shared" si="2"/>
        <v>0</v>
      </c>
      <c r="I6" s="3">
        <f t="shared" si="3"/>
        <v>0</v>
      </c>
      <c r="J6" s="3">
        <f t="shared" si="4"/>
        <v>0</v>
      </c>
      <c r="K6" s="3">
        <f t="shared" si="5"/>
        <v>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 t="s">
        <v>21</v>
      </c>
      <c r="B7" s="5">
        <v>2900.0</v>
      </c>
      <c r="C7" s="1" t="s">
        <v>6</v>
      </c>
      <c r="D7" s="7" t="s">
        <v>20</v>
      </c>
      <c r="E7" s="6">
        <v>45099.0</v>
      </c>
      <c r="F7" s="6">
        <v>45125.0</v>
      </c>
      <c r="G7" s="3">
        <f t="shared" si="1"/>
        <v>1</v>
      </c>
      <c r="H7" s="3">
        <f t="shared" si="2"/>
        <v>0</v>
      </c>
      <c r="I7" s="3">
        <f t="shared" si="3"/>
        <v>0</v>
      </c>
      <c r="J7" s="3">
        <f t="shared" si="4"/>
        <v>0</v>
      </c>
      <c r="K7" s="3">
        <f t="shared" si="5"/>
        <v>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 t="s">
        <v>22</v>
      </c>
      <c r="B8" s="5">
        <v>2900.0</v>
      </c>
      <c r="C8" s="1"/>
      <c r="D8" s="1" t="s">
        <v>23</v>
      </c>
      <c r="E8" s="6">
        <v>45099.0</v>
      </c>
      <c r="F8" s="6">
        <v>45126.0</v>
      </c>
      <c r="G8" s="3">
        <f t="shared" si="1"/>
        <v>0</v>
      </c>
      <c r="H8" s="3">
        <f t="shared" si="2"/>
        <v>0</v>
      </c>
      <c r="I8" s="3">
        <f t="shared" si="3"/>
        <v>0</v>
      </c>
      <c r="J8" s="3">
        <f t="shared" si="4"/>
        <v>0</v>
      </c>
      <c r="K8" s="3">
        <f t="shared" si="5"/>
        <v>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24</v>
      </c>
      <c r="B9" s="5">
        <v>2900.0</v>
      </c>
      <c r="C9" s="1" t="s">
        <v>8</v>
      </c>
      <c r="D9" s="7" t="s">
        <v>25</v>
      </c>
      <c r="E9" s="6">
        <v>45099.0</v>
      </c>
      <c r="F9" s="6">
        <v>45124.0</v>
      </c>
      <c r="G9" s="3">
        <f t="shared" si="1"/>
        <v>0</v>
      </c>
      <c r="H9" s="3">
        <f t="shared" si="2"/>
        <v>0</v>
      </c>
      <c r="I9" s="3">
        <f t="shared" si="3"/>
        <v>1</v>
      </c>
      <c r="J9" s="3">
        <f t="shared" si="4"/>
        <v>0</v>
      </c>
      <c r="K9" s="3">
        <f t="shared" si="5"/>
        <v>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26</v>
      </c>
      <c r="B10" s="5">
        <v>3500.0</v>
      </c>
      <c r="C10" s="1"/>
      <c r="D10" s="1" t="s">
        <v>27</v>
      </c>
      <c r="E10" s="6">
        <v>45099.0</v>
      </c>
      <c r="F10" s="6">
        <v>45124.0</v>
      </c>
      <c r="G10" s="3">
        <f t="shared" si="1"/>
        <v>0</v>
      </c>
      <c r="H10" s="3">
        <f t="shared" si="2"/>
        <v>0</v>
      </c>
      <c r="I10" s="3">
        <f t="shared" si="3"/>
        <v>0</v>
      </c>
      <c r="J10" s="3">
        <f t="shared" si="4"/>
        <v>0</v>
      </c>
      <c r="K10" s="3">
        <f t="shared" si="5"/>
        <v>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 t="s">
        <v>28</v>
      </c>
      <c r="B11" s="5">
        <v>2900.0</v>
      </c>
      <c r="C11" s="1" t="s">
        <v>8</v>
      </c>
      <c r="D11" s="7" t="s">
        <v>29</v>
      </c>
      <c r="E11" s="6">
        <v>45099.0</v>
      </c>
      <c r="F11" s="6">
        <v>45121.0</v>
      </c>
      <c r="G11" s="3">
        <f t="shared" si="1"/>
        <v>0</v>
      </c>
      <c r="H11" s="3">
        <f t="shared" si="2"/>
        <v>0</v>
      </c>
      <c r="I11" s="3">
        <f t="shared" si="3"/>
        <v>1</v>
      </c>
      <c r="J11" s="3">
        <f t="shared" si="4"/>
        <v>0</v>
      </c>
      <c r="K11" s="3">
        <f t="shared" si="5"/>
        <v>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 t="s">
        <v>30</v>
      </c>
      <c r="B12" s="5">
        <v>2800.0</v>
      </c>
      <c r="C12" s="1" t="s">
        <v>8</v>
      </c>
      <c r="D12" s="7" t="s">
        <v>31</v>
      </c>
      <c r="E12" s="6">
        <v>45099.0</v>
      </c>
      <c r="F12" s="6">
        <v>45121.0</v>
      </c>
      <c r="G12" s="3">
        <f t="shared" si="1"/>
        <v>0</v>
      </c>
      <c r="H12" s="3">
        <f t="shared" si="2"/>
        <v>0</v>
      </c>
      <c r="I12" s="3">
        <f t="shared" si="3"/>
        <v>1</v>
      </c>
      <c r="J12" s="3">
        <f t="shared" si="4"/>
        <v>0</v>
      </c>
      <c r="K12" s="3">
        <f t="shared" si="5"/>
        <v>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 t="s">
        <v>32</v>
      </c>
      <c r="B13" s="5">
        <v>2800.0</v>
      </c>
      <c r="C13" s="1" t="s">
        <v>8</v>
      </c>
      <c r="D13" s="7" t="s">
        <v>33</v>
      </c>
      <c r="E13" s="6">
        <v>45099.0</v>
      </c>
      <c r="F13" s="6">
        <v>45121.0</v>
      </c>
      <c r="G13" s="3">
        <f t="shared" si="1"/>
        <v>0</v>
      </c>
      <c r="H13" s="3">
        <f t="shared" si="2"/>
        <v>0</v>
      </c>
      <c r="I13" s="3">
        <f t="shared" si="3"/>
        <v>1</v>
      </c>
      <c r="J13" s="3">
        <f t="shared" si="4"/>
        <v>0</v>
      </c>
      <c r="K13" s="3">
        <f t="shared" si="5"/>
        <v>1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 t="s">
        <v>34</v>
      </c>
      <c r="B14" s="5">
        <v>2800.0</v>
      </c>
      <c r="C14" s="1" t="s">
        <v>8</v>
      </c>
      <c r="D14" s="1" t="s">
        <v>35</v>
      </c>
      <c r="E14" s="6">
        <v>45099.0</v>
      </c>
      <c r="F14" s="6">
        <v>45121.0</v>
      </c>
      <c r="G14" s="3">
        <f t="shared" si="1"/>
        <v>0</v>
      </c>
      <c r="H14" s="3">
        <f t="shared" si="2"/>
        <v>0</v>
      </c>
      <c r="I14" s="3">
        <f t="shared" si="3"/>
        <v>1</v>
      </c>
      <c r="J14" s="3">
        <f t="shared" si="4"/>
        <v>0</v>
      </c>
      <c r="K14" s="3">
        <f t="shared" si="5"/>
        <v>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36</v>
      </c>
      <c r="B15" s="5">
        <v>3000.0</v>
      </c>
      <c r="C15" s="1" t="s">
        <v>8</v>
      </c>
      <c r="D15" s="3"/>
      <c r="E15" s="6">
        <v>45099.0</v>
      </c>
      <c r="F15" s="6">
        <v>45110.0</v>
      </c>
      <c r="G15" s="3">
        <f t="shared" si="1"/>
        <v>0</v>
      </c>
      <c r="H15" s="3">
        <f t="shared" si="2"/>
        <v>0</v>
      </c>
      <c r="I15" s="3">
        <f t="shared" si="3"/>
        <v>1</v>
      </c>
      <c r="J15" s="3">
        <f t="shared" si="4"/>
        <v>0</v>
      </c>
      <c r="K15" s="3">
        <f t="shared" si="5"/>
        <v>1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 t="s">
        <v>37</v>
      </c>
      <c r="B16" s="5">
        <v>2800.0</v>
      </c>
      <c r="C16" s="1" t="s">
        <v>8</v>
      </c>
      <c r="D16" s="7" t="s">
        <v>38</v>
      </c>
      <c r="E16" s="6">
        <v>45099.0</v>
      </c>
      <c r="F16" s="6">
        <v>45100.0</v>
      </c>
      <c r="G16" s="3">
        <f t="shared" si="1"/>
        <v>0</v>
      </c>
      <c r="H16" s="3">
        <f t="shared" si="2"/>
        <v>0</v>
      </c>
      <c r="I16" s="3">
        <f t="shared" si="3"/>
        <v>1</v>
      </c>
      <c r="J16" s="3">
        <f t="shared" si="4"/>
        <v>0</v>
      </c>
      <c r="K16" s="3">
        <f t="shared" si="5"/>
        <v>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 t="s">
        <v>39</v>
      </c>
      <c r="B17" s="5">
        <v>2800.0</v>
      </c>
      <c r="C17" s="1" t="s">
        <v>8</v>
      </c>
      <c r="D17" s="7" t="s">
        <v>40</v>
      </c>
      <c r="E17" s="6">
        <v>45099.0</v>
      </c>
      <c r="F17" s="6">
        <v>45100.0</v>
      </c>
      <c r="G17" s="3">
        <f t="shared" si="1"/>
        <v>0</v>
      </c>
      <c r="H17" s="3">
        <f t="shared" si="2"/>
        <v>0</v>
      </c>
      <c r="I17" s="3">
        <f t="shared" si="3"/>
        <v>1</v>
      </c>
      <c r="J17" s="3">
        <f t="shared" si="4"/>
        <v>0</v>
      </c>
      <c r="K17" s="3">
        <f t="shared" si="5"/>
        <v>1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 t="s">
        <v>41</v>
      </c>
      <c r="B18" s="5">
        <v>2800.0</v>
      </c>
      <c r="C18" s="1" t="s">
        <v>6</v>
      </c>
      <c r="D18" s="7" t="s">
        <v>42</v>
      </c>
      <c r="E18" s="6">
        <v>45099.0</v>
      </c>
      <c r="F18" s="6">
        <v>45100.0</v>
      </c>
      <c r="G18" s="3">
        <f t="shared" si="1"/>
        <v>1</v>
      </c>
      <c r="H18" s="3">
        <f t="shared" si="2"/>
        <v>0</v>
      </c>
      <c r="I18" s="3">
        <f t="shared" si="3"/>
        <v>0</v>
      </c>
      <c r="J18" s="3">
        <f t="shared" si="4"/>
        <v>0</v>
      </c>
      <c r="K18" s="3">
        <f t="shared" si="5"/>
        <v>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 t="s">
        <v>43</v>
      </c>
      <c r="B19" s="5">
        <v>2800.0</v>
      </c>
      <c r="C19" s="1" t="s">
        <v>6</v>
      </c>
      <c r="D19" s="7" t="s">
        <v>44</v>
      </c>
      <c r="E19" s="6">
        <v>45099.0</v>
      </c>
      <c r="F19" s="6">
        <v>45099.0</v>
      </c>
      <c r="G19" s="3">
        <f t="shared" si="1"/>
        <v>1</v>
      </c>
      <c r="H19" s="3">
        <f t="shared" si="2"/>
        <v>0</v>
      </c>
      <c r="I19" s="3">
        <f t="shared" si="3"/>
        <v>0</v>
      </c>
      <c r="J19" s="3">
        <f t="shared" si="4"/>
        <v>0</v>
      </c>
      <c r="K19" s="3">
        <f t="shared" si="5"/>
        <v>1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 t="s">
        <v>45</v>
      </c>
      <c r="B20" s="5">
        <v>2800.0</v>
      </c>
      <c r="C20" s="1" t="s">
        <v>6</v>
      </c>
      <c r="D20" s="7" t="s">
        <v>46</v>
      </c>
      <c r="E20" s="6">
        <v>45028.0</v>
      </c>
      <c r="F20" s="6">
        <v>45028.0</v>
      </c>
      <c r="G20" s="3">
        <f t="shared" si="1"/>
        <v>1</v>
      </c>
      <c r="H20" s="3">
        <f t="shared" si="2"/>
        <v>0</v>
      </c>
      <c r="I20" s="3">
        <f t="shared" si="3"/>
        <v>0</v>
      </c>
      <c r="J20" s="3">
        <f t="shared" si="4"/>
        <v>0</v>
      </c>
      <c r="K20" s="3">
        <f t="shared" si="5"/>
        <v>1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7" t="s">
        <v>47</v>
      </c>
      <c r="B21" s="5">
        <v>2800.0</v>
      </c>
      <c r="C21" s="1"/>
      <c r="D21" s="1" t="s">
        <v>35</v>
      </c>
      <c r="E21" s="6">
        <v>45028.0</v>
      </c>
      <c r="F21" s="6">
        <v>45028.0</v>
      </c>
      <c r="G21" s="3">
        <f t="shared" si="1"/>
        <v>0</v>
      </c>
      <c r="H21" s="3">
        <f t="shared" si="2"/>
        <v>0</v>
      </c>
      <c r="I21" s="3">
        <f t="shared" si="3"/>
        <v>0</v>
      </c>
      <c r="J21" s="3">
        <f t="shared" si="4"/>
        <v>0</v>
      </c>
      <c r="K21" s="3">
        <f t="shared" si="5"/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7" t="s">
        <v>48</v>
      </c>
      <c r="B22" s="5">
        <v>2800.0</v>
      </c>
      <c r="C22" s="1" t="s">
        <v>6</v>
      </c>
      <c r="D22" s="7" t="s">
        <v>49</v>
      </c>
      <c r="E22" s="6">
        <v>45028.0</v>
      </c>
      <c r="F22" s="6">
        <v>45028.0</v>
      </c>
      <c r="G22" s="3">
        <f t="shared" si="1"/>
        <v>1</v>
      </c>
      <c r="H22" s="3">
        <f t="shared" si="2"/>
        <v>0</v>
      </c>
      <c r="I22" s="3">
        <f t="shared" si="3"/>
        <v>0</v>
      </c>
      <c r="J22" s="3">
        <f t="shared" si="4"/>
        <v>0</v>
      </c>
      <c r="K22" s="3">
        <f t="shared" si="5"/>
        <v>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7" t="s">
        <v>50</v>
      </c>
      <c r="B23" s="5">
        <v>2800.0</v>
      </c>
      <c r="C23" s="1" t="s">
        <v>8</v>
      </c>
      <c r="D23" s="7" t="s">
        <v>51</v>
      </c>
      <c r="E23" s="6">
        <v>45028.0</v>
      </c>
      <c r="F23" s="6">
        <v>45028.0</v>
      </c>
      <c r="G23" s="3">
        <f t="shared" si="1"/>
        <v>0</v>
      </c>
      <c r="H23" s="3">
        <f t="shared" si="2"/>
        <v>0</v>
      </c>
      <c r="I23" s="3">
        <f t="shared" si="3"/>
        <v>1</v>
      </c>
      <c r="J23" s="3">
        <f t="shared" si="4"/>
        <v>0</v>
      </c>
      <c r="K23" s="3">
        <f t="shared" si="5"/>
        <v>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7" t="s">
        <v>52</v>
      </c>
      <c r="B24" s="5">
        <v>2800.0</v>
      </c>
      <c r="C24" s="1" t="s">
        <v>6</v>
      </c>
      <c r="D24" s="7" t="s">
        <v>53</v>
      </c>
      <c r="E24" s="6">
        <v>45028.0</v>
      </c>
      <c r="F24" s="6">
        <v>45028.0</v>
      </c>
      <c r="G24" s="3">
        <f t="shared" si="1"/>
        <v>1</v>
      </c>
      <c r="H24" s="3">
        <f t="shared" si="2"/>
        <v>0</v>
      </c>
      <c r="I24" s="3">
        <f t="shared" si="3"/>
        <v>0</v>
      </c>
      <c r="J24" s="3">
        <f t="shared" si="4"/>
        <v>0</v>
      </c>
      <c r="K24" s="3">
        <f t="shared" si="5"/>
        <v>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7" t="s">
        <v>54</v>
      </c>
      <c r="B25" s="5">
        <v>2800.0</v>
      </c>
      <c r="C25" s="1" t="s">
        <v>6</v>
      </c>
      <c r="D25" s="7" t="s">
        <v>55</v>
      </c>
      <c r="E25" s="6">
        <v>45028.0</v>
      </c>
      <c r="F25" s="6">
        <v>45028.0</v>
      </c>
      <c r="G25" s="3">
        <f t="shared" si="1"/>
        <v>1</v>
      </c>
      <c r="H25" s="3">
        <f t="shared" si="2"/>
        <v>0</v>
      </c>
      <c r="I25" s="3">
        <f t="shared" si="3"/>
        <v>0</v>
      </c>
      <c r="J25" s="3">
        <f t="shared" si="4"/>
        <v>0</v>
      </c>
      <c r="K25" s="3">
        <f t="shared" si="5"/>
        <v>1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7" t="s">
        <v>56</v>
      </c>
      <c r="B26" s="5">
        <v>2800.0</v>
      </c>
      <c r="C26" s="1" t="s">
        <v>8</v>
      </c>
      <c r="D26" s="7" t="s">
        <v>57</v>
      </c>
      <c r="E26" s="6">
        <v>45021.0</v>
      </c>
      <c r="F26" s="6">
        <v>45022.0</v>
      </c>
      <c r="G26" s="3">
        <f t="shared" si="1"/>
        <v>0</v>
      </c>
      <c r="H26" s="3">
        <f t="shared" si="2"/>
        <v>0</v>
      </c>
      <c r="I26" s="3">
        <f t="shared" si="3"/>
        <v>1</v>
      </c>
      <c r="J26" s="3">
        <f t="shared" si="4"/>
        <v>0</v>
      </c>
      <c r="K26" s="3">
        <f t="shared" si="5"/>
        <v>1</v>
      </c>
      <c r="L26" s="7" t="s">
        <v>58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7" t="s">
        <v>59</v>
      </c>
      <c r="B27" s="5">
        <v>2800.0</v>
      </c>
      <c r="C27" s="1" t="s">
        <v>8</v>
      </c>
      <c r="D27" s="7" t="s">
        <v>60</v>
      </c>
      <c r="E27" s="6">
        <v>45021.0</v>
      </c>
      <c r="F27" s="6">
        <v>45022.0</v>
      </c>
      <c r="G27" s="3">
        <f t="shared" si="1"/>
        <v>0</v>
      </c>
      <c r="H27" s="3">
        <f t="shared" si="2"/>
        <v>0</v>
      </c>
      <c r="I27" s="3">
        <f t="shared" si="3"/>
        <v>1</v>
      </c>
      <c r="J27" s="3">
        <f t="shared" si="4"/>
        <v>0</v>
      </c>
      <c r="K27" s="3">
        <f t="shared" si="5"/>
        <v>1</v>
      </c>
      <c r="L27" s="7" t="s">
        <v>61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7" t="s">
        <v>62</v>
      </c>
      <c r="B28" s="5">
        <v>2800.0</v>
      </c>
      <c r="C28" s="1" t="s">
        <v>6</v>
      </c>
      <c r="D28" s="7" t="s">
        <v>63</v>
      </c>
      <c r="E28" s="6">
        <v>45021.0</v>
      </c>
      <c r="F28" s="6">
        <v>45022.0</v>
      </c>
      <c r="G28" s="3">
        <f t="shared" si="1"/>
        <v>1</v>
      </c>
      <c r="H28" s="3">
        <f t="shared" si="2"/>
        <v>0</v>
      </c>
      <c r="I28" s="3">
        <f t="shared" si="3"/>
        <v>0</v>
      </c>
      <c r="J28" s="3">
        <f t="shared" si="4"/>
        <v>0</v>
      </c>
      <c r="K28" s="3">
        <f t="shared" si="5"/>
        <v>1</v>
      </c>
      <c r="L28" s="7" t="s">
        <v>64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7" t="s">
        <v>65</v>
      </c>
      <c r="B29" s="5">
        <v>2800.0</v>
      </c>
      <c r="C29" s="1"/>
      <c r="D29" s="7" t="s">
        <v>66</v>
      </c>
      <c r="E29" s="6">
        <v>45021.0</v>
      </c>
      <c r="F29" s="6">
        <v>45022.0</v>
      </c>
      <c r="G29" s="3">
        <f t="shared" si="1"/>
        <v>0</v>
      </c>
      <c r="H29" s="3">
        <f t="shared" si="2"/>
        <v>0</v>
      </c>
      <c r="I29" s="3">
        <f t="shared" si="3"/>
        <v>0</v>
      </c>
      <c r="J29" s="3">
        <f t="shared" si="4"/>
        <v>0</v>
      </c>
      <c r="K29" s="3">
        <f t="shared" si="5"/>
        <v>0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7" t="s">
        <v>67</v>
      </c>
      <c r="B30" s="5">
        <v>2800.0</v>
      </c>
      <c r="C30" s="1" t="s">
        <v>6</v>
      </c>
      <c r="D30" s="7" t="s">
        <v>68</v>
      </c>
      <c r="E30" s="6">
        <v>45021.0</v>
      </c>
      <c r="F30" s="6">
        <v>45021.0</v>
      </c>
      <c r="G30" s="3">
        <f t="shared" si="1"/>
        <v>1</v>
      </c>
      <c r="H30" s="3">
        <f t="shared" si="2"/>
        <v>0</v>
      </c>
      <c r="I30" s="3">
        <f t="shared" si="3"/>
        <v>0</v>
      </c>
      <c r="J30" s="3">
        <f t="shared" si="4"/>
        <v>0</v>
      </c>
      <c r="K30" s="3">
        <f t="shared" si="5"/>
        <v>1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7" t="s">
        <v>69</v>
      </c>
      <c r="B31" s="5">
        <v>2800.0</v>
      </c>
      <c r="C31" s="1" t="s">
        <v>6</v>
      </c>
      <c r="D31" s="7" t="s">
        <v>70</v>
      </c>
      <c r="E31" s="6">
        <v>45021.0</v>
      </c>
      <c r="F31" s="6">
        <v>45021.0</v>
      </c>
      <c r="G31" s="3">
        <f t="shared" si="1"/>
        <v>1</v>
      </c>
      <c r="H31" s="3">
        <f t="shared" si="2"/>
        <v>0</v>
      </c>
      <c r="I31" s="3">
        <f t="shared" si="3"/>
        <v>0</v>
      </c>
      <c r="J31" s="3">
        <f t="shared" si="4"/>
        <v>0</v>
      </c>
      <c r="K31" s="3">
        <f t="shared" si="5"/>
        <v>1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7" t="s">
        <v>71</v>
      </c>
      <c r="B32" s="5">
        <v>2800.0</v>
      </c>
      <c r="C32" s="1" t="s">
        <v>6</v>
      </c>
      <c r="D32" s="7" t="s">
        <v>72</v>
      </c>
      <c r="E32" s="6">
        <v>45020.0</v>
      </c>
      <c r="F32" s="6">
        <v>45021.0</v>
      </c>
      <c r="G32" s="3">
        <f t="shared" si="1"/>
        <v>1</v>
      </c>
      <c r="H32" s="3">
        <f t="shared" si="2"/>
        <v>0</v>
      </c>
      <c r="I32" s="3">
        <f t="shared" si="3"/>
        <v>0</v>
      </c>
      <c r="J32" s="3">
        <f t="shared" si="4"/>
        <v>0</v>
      </c>
      <c r="K32" s="3">
        <f t="shared" si="5"/>
        <v>1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7" t="s">
        <v>73</v>
      </c>
      <c r="B33" s="5">
        <v>2800.0</v>
      </c>
      <c r="C33" s="1" t="s">
        <v>6</v>
      </c>
      <c r="D33" s="7" t="s">
        <v>74</v>
      </c>
      <c r="E33" s="6">
        <v>45020.0</v>
      </c>
      <c r="F33" s="6">
        <v>45020.0</v>
      </c>
      <c r="G33" s="3">
        <f t="shared" si="1"/>
        <v>1</v>
      </c>
      <c r="H33" s="3">
        <f t="shared" si="2"/>
        <v>0</v>
      </c>
      <c r="I33" s="3">
        <f t="shared" si="3"/>
        <v>0</v>
      </c>
      <c r="J33" s="3">
        <f t="shared" si="4"/>
        <v>0</v>
      </c>
      <c r="K33" s="3">
        <f t="shared" si="5"/>
        <v>1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7" t="s">
        <v>75</v>
      </c>
      <c r="B34" s="5">
        <v>2800.0</v>
      </c>
      <c r="C34" s="1" t="s">
        <v>6</v>
      </c>
      <c r="D34" s="7" t="s">
        <v>76</v>
      </c>
      <c r="E34" s="6">
        <v>45020.0</v>
      </c>
      <c r="F34" s="6">
        <v>45020.0</v>
      </c>
      <c r="G34" s="3">
        <f t="shared" si="1"/>
        <v>1</v>
      </c>
      <c r="H34" s="3">
        <f t="shared" si="2"/>
        <v>0</v>
      </c>
      <c r="I34" s="3">
        <f t="shared" si="3"/>
        <v>0</v>
      </c>
      <c r="J34" s="3">
        <f t="shared" si="4"/>
        <v>0</v>
      </c>
      <c r="K34" s="3">
        <f t="shared" si="5"/>
        <v>1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7" t="s">
        <v>77</v>
      </c>
      <c r="B35" s="5">
        <v>2800.0</v>
      </c>
      <c r="C35" s="1" t="s">
        <v>6</v>
      </c>
      <c r="D35" s="7" t="s">
        <v>78</v>
      </c>
      <c r="E35" s="6">
        <v>45020.0</v>
      </c>
      <c r="F35" s="6">
        <v>45020.0</v>
      </c>
      <c r="G35" s="3">
        <f t="shared" si="1"/>
        <v>1</v>
      </c>
      <c r="H35" s="3">
        <f t="shared" si="2"/>
        <v>0</v>
      </c>
      <c r="I35" s="3">
        <f t="shared" si="3"/>
        <v>0</v>
      </c>
      <c r="J35" s="3">
        <f t="shared" si="4"/>
        <v>0</v>
      </c>
      <c r="K35" s="3">
        <f t="shared" si="5"/>
        <v>1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7" t="s">
        <v>79</v>
      </c>
      <c r="B36" s="5">
        <v>2800.0</v>
      </c>
      <c r="C36" s="1" t="s">
        <v>6</v>
      </c>
      <c r="D36" s="7" t="s">
        <v>80</v>
      </c>
      <c r="E36" s="6">
        <v>45020.0</v>
      </c>
      <c r="F36" s="6">
        <v>45020.0</v>
      </c>
      <c r="G36" s="3">
        <f t="shared" si="1"/>
        <v>1</v>
      </c>
      <c r="H36" s="3">
        <f t="shared" si="2"/>
        <v>0</v>
      </c>
      <c r="I36" s="3">
        <f t="shared" si="3"/>
        <v>0</v>
      </c>
      <c r="J36" s="3">
        <f t="shared" si="4"/>
        <v>0</v>
      </c>
      <c r="K36" s="3">
        <f t="shared" si="5"/>
        <v>1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7" t="s">
        <v>81</v>
      </c>
      <c r="B37" s="5">
        <v>2700.0</v>
      </c>
      <c r="C37" s="1" t="s">
        <v>6</v>
      </c>
      <c r="D37" s="7" t="s">
        <v>82</v>
      </c>
      <c r="E37" s="6">
        <v>45001.0</v>
      </c>
      <c r="F37" s="6">
        <v>45020.0</v>
      </c>
      <c r="G37" s="3">
        <f t="shared" si="1"/>
        <v>1</v>
      </c>
      <c r="H37" s="3">
        <f t="shared" si="2"/>
        <v>0</v>
      </c>
      <c r="I37" s="3">
        <f t="shared" si="3"/>
        <v>0</v>
      </c>
      <c r="J37" s="3">
        <f t="shared" si="4"/>
        <v>0</v>
      </c>
      <c r="K37" s="3">
        <f t="shared" si="5"/>
        <v>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7" t="s">
        <v>83</v>
      </c>
      <c r="B38" s="5">
        <v>2700.0</v>
      </c>
      <c r="C38" s="1" t="s">
        <v>6</v>
      </c>
      <c r="D38" s="7" t="s">
        <v>84</v>
      </c>
      <c r="E38" s="6">
        <v>45001.0</v>
      </c>
      <c r="F38" s="6">
        <v>45019.0</v>
      </c>
      <c r="G38" s="3">
        <f t="shared" si="1"/>
        <v>1</v>
      </c>
      <c r="H38" s="3">
        <f t="shared" si="2"/>
        <v>0</v>
      </c>
      <c r="I38" s="3">
        <f t="shared" si="3"/>
        <v>0</v>
      </c>
      <c r="J38" s="3">
        <f t="shared" si="4"/>
        <v>0</v>
      </c>
      <c r="K38" s="3">
        <f t="shared" si="5"/>
        <v>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7" t="s">
        <v>85</v>
      </c>
      <c r="B39" s="5">
        <v>2700.0</v>
      </c>
      <c r="C39" s="1" t="s">
        <v>6</v>
      </c>
      <c r="D39" s="7" t="s">
        <v>86</v>
      </c>
      <c r="E39" s="6">
        <v>45001.0</v>
      </c>
      <c r="F39" s="6">
        <v>45019.0</v>
      </c>
      <c r="G39" s="3">
        <f t="shared" si="1"/>
        <v>1</v>
      </c>
      <c r="H39" s="3">
        <f t="shared" si="2"/>
        <v>0</v>
      </c>
      <c r="I39" s="3">
        <f t="shared" si="3"/>
        <v>0</v>
      </c>
      <c r="J39" s="3">
        <f t="shared" si="4"/>
        <v>0</v>
      </c>
      <c r="K39" s="3">
        <f t="shared" si="5"/>
        <v>1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7" t="s">
        <v>87</v>
      </c>
      <c r="B40" s="5">
        <v>2700.0</v>
      </c>
      <c r="C40" s="1" t="s">
        <v>6</v>
      </c>
      <c r="D40" s="7" t="s">
        <v>88</v>
      </c>
      <c r="E40" s="6">
        <v>45001.0</v>
      </c>
      <c r="F40" s="6">
        <v>45019.0</v>
      </c>
      <c r="G40" s="3">
        <f t="shared" si="1"/>
        <v>1</v>
      </c>
      <c r="H40" s="3">
        <f t="shared" si="2"/>
        <v>0</v>
      </c>
      <c r="I40" s="3">
        <f t="shared" si="3"/>
        <v>0</v>
      </c>
      <c r="J40" s="3">
        <f t="shared" si="4"/>
        <v>0</v>
      </c>
      <c r="K40" s="3">
        <f t="shared" si="5"/>
        <v>1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89</v>
      </c>
      <c r="B41" s="5">
        <v>2700.0</v>
      </c>
      <c r="C41" s="1" t="s">
        <v>8</v>
      </c>
      <c r="D41" s="7" t="s">
        <v>90</v>
      </c>
      <c r="E41" s="6">
        <v>45001.0</v>
      </c>
      <c r="F41" s="6">
        <v>45001.0</v>
      </c>
      <c r="G41" s="3">
        <f t="shared" si="1"/>
        <v>0</v>
      </c>
      <c r="H41" s="3">
        <f t="shared" si="2"/>
        <v>0</v>
      </c>
      <c r="I41" s="3">
        <f t="shared" si="3"/>
        <v>1</v>
      </c>
      <c r="J41" s="3">
        <f t="shared" si="4"/>
        <v>0</v>
      </c>
      <c r="K41" s="3">
        <f t="shared" si="5"/>
        <v>1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7" t="s">
        <v>91</v>
      </c>
      <c r="B42" s="5">
        <v>2700.0</v>
      </c>
      <c r="C42" s="1" t="s">
        <v>6</v>
      </c>
      <c r="D42" s="7" t="s">
        <v>92</v>
      </c>
      <c r="E42" s="6">
        <v>45001.0</v>
      </c>
      <c r="F42" s="6">
        <v>45001.0</v>
      </c>
      <c r="G42" s="3">
        <f t="shared" si="1"/>
        <v>1</v>
      </c>
      <c r="H42" s="3">
        <f t="shared" si="2"/>
        <v>0</v>
      </c>
      <c r="I42" s="3">
        <f t="shared" si="3"/>
        <v>0</v>
      </c>
      <c r="J42" s="3">
        <f t="shared" si="4"/>
        <v>0</v>
      </c>
      <c r="K42" s="3">
        <f t="shared" si="5"/>
        <v>1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93</v>
      </c>
      <c r="B43" s="5">
        <v>3100.0</v>
      </c>
      <c r="C43" s="1" t="s">
        <v>6</v>
      </c>
      <c r="D43" s="7" t="s">
        <v>94</v>
      </c>
      <c r="E43" s="6">
        <v>44991.0</v>
      </c>
      <c r="F43" s="6">
        <v>45000.0</v>
      </c>
      <c r="G43" s="3">
        <f t="shared" si="1"/>
        <v>1</v>
      </c>
      <c r="H43" s="3">
        <f t="shared" si="2"/>
        <v>0</v>
      </c>
      <c r="I43" s="3">
        <f t="shared" si="3"/>
        <v>0</v>
      </c>
      <c r="J43" s="3">
        <f t="shared" si="4"/>
        <v>0</v>
      </c>
      <c r="K43" s="3">
        <f t="shared" si="5"/>
        <v>1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7" t="s">
        <v>95</v>
      </c>
      <c r="B44" s="5">
        <v>3100.0</v>
      </c>
      <c r="C44" s="1" t="s">
        <v>6</v>
      </c>
      <c r="D44" s="7" t="s">
        <v>96</v>
      </c>
      <c r="E44" s="6">
        <v>44991.0</v>
      </c>
      <c r="F44" s="6">
        <v>44999.0</v>
      </c>
      <c r="G44" s="3">
        <f t="shared" si="1"/>
        <v>1</v>
      </c>
      <c r="H44" s="3">
        <f t="shared" si="2"/>
        <v>0</v>
      </c>
      <c r="I44" s="3">
        <f t="shared" si="3"/>
        <v>0</v>
      </c>
      <c r="J44" s="3">
        <f t="shared" si="4"/>
        <v>0</v>
      </c>
      <c r="K44" s="3">
        <f t="shared" si="5"/>
        <v>1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7" t="s">
        <v>97</v>
      </c>
      <c r="B45" s="5">
        <v>3100.0</v>
      </c>
      <c r="C45" s="1" t="s">
        <v>8</v>
      </c>
      <c r="D45" s="7" t="s">
        <v>98</v>
      </c>
      <c r="E45" s="6">
        <v>44991.0</v>
      </c>
      <c r="F45" s="6">
        <v>44991.0</v>
      </c>
      <c r="G45" s="3">
        <f t="shared" si="1"/>
        <v>0</v>
      </c>
      <c r="H45" s="3">
        <f t="shared" si="2"/>
        <v>0</v>
      </c>
      <c r="I45" s="3">
        <f t="shared" si="3"/>
        <v>1</v>
      </c>
      <c r="J45" s="3">
        <f t="shared" si="4"/>
        <v>0</v>
      </c>
      <c r="K45" s="3">
        <f t="shared" si="5"/>
        <v>1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7" t="s">
        <v>99</v>
      </c>
      <c r="B46" s="5">
        <v>3100.0</v>
      </c>
      <c r="C46" s="1" t="s">
        <v>8</v>
      </c>
      <c r="D46" s="4" t="s">
        <v>100</v>
      </c>
      <c r="E46" s="6">
        <v>44991.0</v>
      </c>
      <c r="F46" s="6">
        <v>44991.0</v>
      </c>
      <c r="G46" s="3">
        <f t="shared" si="1"/>
        <v>0</v>
      </c>
      <c r="H46" s="3">
        <f t="shared" si="2"/>
        <v>0</v>
      </c>
      <c r="I46" s="3">
        <f t="shared" si="3"/>
        <v>1</v>
      </c>
      <c r="J46" s="3">
        <f t="shared" si="4"/>
        <v>0</v>
      </c>
      <c r="K46" s="3">
        <f t="shared" si="5"/>
        <v>1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101</v>
      </c>
      <c r="B47" s="5">
        <v>3100.0</v>
      </c>
      <c r="C47" s="1" t="s">
        <v>8</v>
      </c>
      <c r="D47" s="7" t="s">
        <v>102</v>
      </c>
      <c r="E47" s="6">
        <v>44991.0</v>
      </c>
      <c r="F47" s="6">
        <v>44991.0</v>
      </c>
      <c r="G47" s="3">
        <f t="shared" si="1"/>
        <v>0</v>
      </c>
      <c r="H47" s="3">
        <f t="shared" si="2"/>
        <v>0</v>
      </c>
      <c r="I47" s="3">
        <f t="shared" si="3"/>
        <v>1</v>
      </c>
      <c r="J47" s="3">
        <f t="shared" si="4"/>
        <v>0</v>
      </c>
      <c r="K47" s="3">
        <f t="shared" si="5"/>
        <v>1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103</v>
      </c>
      <c r="B48" s="5">
        <v>3100.0</v>
      </c>
      <c r="C48" s="1" t="s">
        <v>8</v>
      </c>
      <c r="D48" s="7" t="s">
        <v>104</v>
      </c>
      <c r="E48" s="6">
        <v>44991.0</v>
      </c>
      <c r="F48" s="6">
        <v>44992.0</v>
      </c>
      <c r="G48" s="3">
        <f t="shared" si="1"/>
        <v>0</v>
      </c>
      <c r="H48" s="3">
        <f t="shared" si="2"/>
        <v>0</v>
      </c>
      <c r="I48" s="3">
        <f t="shared" si="3"/>
        <v>1</v>
      </c>
      <c r="J48" s="3">
        <f t="shared" si="4"/>
        <v>0</v>
      </c>
      <c r="K48" s="3">
        <f t="shared" si="5"/>
        <v>1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7" t="s">
        <v>105</v>
      </c>
      <c r="B49" s="5">
        <v>2800.0</v>
      </c>
      <c r="C49" s="1" t="s">
        <v>6</v>
      </c>
      <c r="D49" s="3"/>
      <c r="E49" s="6">
        <v>45019.0</v>
      </c>
      <c r="F49" s="6">
        <v>45019.0</v>
      </c>
      <c r="G49" s="3">
        <f t="shared" si="1"/>
        <v>1</v>
      </c>
      <c r="H49" s="3">
        <f t="shared" si="2"/>
        <v>0</v>
      </c>
      <c r="I49" s="3">
        <f t="shared" si="3"/>
        <v>0</v>
      </c>
      <c r="J49" s="3">
        <f t="shared" si="4"/>
        <v>0</v>
      </c>
      <c r="K49" s="3">
        <f t="shared" si="5"/>
        <v>1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7" t="s">
        <v>106</v>
      </c>
      <c r="B50" s="5" t="s">
        <v>107</v>
      </c>
      <c r="C50" s="1"/>
      <c r="D50" s="3"/>
      <c r="E50" s="6">
        <v>45002.0</v>
      </c>
      <c r="F50" s="6">
        <v>45002.0</v>
      </c>
      <c r="G50" s="3">
        <f t="shared" si="1"/>
        <v>0</v>
      </c>
      <c r="H50" s="3">
        <f t="shared" si="2"/>
        <v>0</v>
      </c>
      <c r="I50" s="3">
        <f t="shared" si="3"/>
        <v>0</v>
      </c>
      <c r="J50" s="3">
        <f t="shared" si="4"/>
        <v>0</v>
      </c>
      <c r="K50" s="3">
        <f t="shared" si="5"/>
        <v>0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7" t="s">
        <v>108</v>
      </c>
      <c r="B51" s="5" t="s">
        <v>109</v>
      </c>
      <c r="C51" s="1" t="s">
        <v>6</v>
      </c>
      <c r="D51" s="7" t="s">
        <v>110</v>
      </c>
      <c r="E51" s="6">
        <v>45027.0</v>
      </c>
      <c r="F51" s="6">
        <v>45027.0</v>
      </c>
      <c r="G51" s="3">
        <f t="shared" si="1"/>
        <v>1</v>
      </c>
      <c r="H51" s="3">
        <f t="shared" si="2"/>
        <v>0</v>
      </c>
      <c r="I51" s="3">
        <f t="shared" si="3"/>
        <v>0</v>
      </c>
      <c r="J51" s="3">
        <f t="shared" si="4"/>
        <v>0</v>
      </c>
      <c r="K51" s="3">
        <f t="shared" si="5"/>
        <v>1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8"/>
      <c r="C52" s="3"/>
      <c r="D52" s="3"/>
      <c r="E52" s="6"/>
      <c r="F52" s="6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8"/>
      <c r="C53" s="3"/>
      <c r="D53" s="3"/>
      <c r="E53" s="6"/>
      <c r="F53" s="6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8"/>
      <c r="C54" s="3"/>
      <c r="D54" s="3"/>
      <c r="E54" s="6"/>
      <c r="F54" s="6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8"/>
      <c r="C55" s="3"/>
      <c r="D55" s="3"/>
      <c r="E55" s="6"/>
      <c r="F55" s="6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8"/>
      <c r="C56" s="3"/>
      <c r="D56" s="3"/>
      <c r="E56" s="6"/>
      <c r="F56" s="6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8"/>
      <c r="C57" s="3"/>
      <c r="D57" s="3"/>
      <c r="E57" s="6"/>
      <c r="F57" s="6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8"/>
      <c r="C58" s="3"/>
      <c r="D58" s="3"/>
      <c r="E58" s="6"/>
      <c r="F58" s="6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8"/>
      <c r="C59" s="3"/>
      <c r="D59" s="3"/>
      <c r="E59" s="6"/>
      <c r="F59" s="6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8"/>
      <c r="C60" s="3"/>
      <c r="D60" s="3"/>
      <c r="E60" s="6"/>
      <c r="F60" s="6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8"/>
      <c r="C61" s="3"/>
      <c r="D61" s="3"/>
      <c r="E61" s="6"/>
      <c r="F61" s="6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8"/>
      <c r="C62" s="3"/>
      <c r="D62" s="3"/>
      <c r="E62" s="6"/>
      <c r="F62" s="6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8"/>
      <c r="C63" s="3"/>
      <c r="D63" s="3"/>
      <c r="E63" s="6"/>
      <c r="F63" s="6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8"/>
      <c r="C64" s="3"/>
      <c r="D64" s="3"/>
      <c r="E64" s="6"/>
      <c r="F64" s="6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8"/>
      <c r="C65" s="3"/>
      <c r="D65" s="3"/>
      <c r="E65" s="6"/>
      <c r="F65" s="6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8"/>
      <c r="C66" s="3"/>
      <c r="D66" s="3"/>
      <c r="E66" s="6"/>
      <c r="F66" s="6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8"/>
      <c r="C67" s="3"/>
      <c r="D67" s="3"/>
      <c r="E67" s="6"/>
      <c r="F67" s="6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8"/>
      <c r="C68" s="3"/>
      <c r="D68" s="3"/>
      <c r="E68" s="6"/>
      <c r="F68" s="6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8"/>
      <c r="C69" s="3"/>
      <c r="D69" s="3"/>
      <c r="E69" s="6"/>
      <c r="F69" s="6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8"/>
      <c r="C70" s="3"/>
      <c r="D70" s="3"/>
      <c r="E70" s="6"/>
      <c r="F70" s="6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8"/>
      <c r="C71" s="3"/>
      <c r="D71" s="3"/>
      <c r="E71" s="6"/>
      <c r="F71" s="6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8"/>
      <c r="C72" s="3"/>
      <c r="D72" s="3"/>
      <c r="E72" s="6"/>
      <c r="F72" s="6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8"/>
      <c r="C73" s="3"/>
      <c r="D73" s="3"/>
      <c r="E73" s="6"/>
      <c r="F73" s="6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8"/>
      <c r="C74" s="3"/>
      <c r="D74" s="3"/>
      <c r="E74" s="6"/>
      <c r="F74" s="6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8"/>
      <c r="C75" s="3"/>
      <c r="D75" s="3"/>
      <c r="E75" s="6"/>
      <c r="F75" s="6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8"/>
      <c r="C76" s="3"/>
      <c r="D76" s="3"/>
      <c r="E76" s="6"/>
      <c r="F76" s="6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8"/>
      <c r="C77" s="3"/>
      <c r="D77" s="3"/>
      <c r="E77" s="6"/>
      <c r="F77" s="6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8"/>
      <c r="C78" s="3"/>
      <c r="D78" s="3"/>
      <c r="E78" s="6"/>
      <c r="F78" s="6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8"/>
      <c r="C79" s="3"/>
      <c r="D79" s="3"/>
      <c r="E79" s="6"/>
      <c r="F79" s="6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8"/>
      <c r="C80" s="3"/>
      <c r="D80" s="3"/>
      <c r="E80" s="6"/>
      <c r="F80" s="6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8"/>
      <c r="C81" s="3"/>
      <c r="D81" s="3"/>
      <c r="E81" s="6"/>
      <c r="F81" s="6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8"/>
      <c r="C82" s="3"/>
      <c r="D82" s="3"/>
      <c r="E82" s="6"/>
      <c r="F82" s="6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8"/>
      <c r="C83" s="3"/>
      <c r="D83" s="3"/>
      <c r="E83" s="6"/>
      <c r="F83" s="6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8"/>
      <c r="C84" s="3"/>
      <c r="D84" s="3"/>
      <c r="E84" s="6"/>
      <c r="F84" s="6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8"/>
      <c r="C85" s="3"/>
      <c r="D85" s="3"/>
      <c r="E85" s="6"/>
      <c r="F85" s="6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8"/>
      <c r="C86" s="3"/>
      <c r="D86" s="3"/>
      <c r="E86" s="6"/>
      <c r="F86" s="6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8"/>
      <c r="C87" s="3"/>
      <c r="D87" s="3"/>
      <c r="E87" s="6"/>
      <c r="F87" s="6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8"/>
      <c r="C88" s="3"/>
      <c r="D88" s="3"/>
      <c r="E88" s="6"/>
      <c r="F88" s="6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8"/>
      <c r="C89" s="3"/>
      <c r="D89" s="3"/>
      <c r="E89" s="6"/>
      <c r="F89" s="6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8"/>
      <c r="C90" s="3"/>
      <c r="D90" s="3"/>
      <c r="E90" s="9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8"/>
      <c r="C91" s="3"/>
      <c r="D91" s="3"/>
      <c r="E91" s="9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8"/>
      <c r="C92" s="3"/>
      <c r="D92" s="3"/>
      <c r="E92" s="9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8"/>
      <c r="C93" s="3"/>
      <c r="D93" s="3"/>
      <c r="E93" s="9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8"/>
      <c r="C94" s="3"/>
      <c r="D94" s="3"/>
      <c r="E94" s="9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8"/>
      <c r="C95" s="3"/>
      <c r="D95" s="3"/>
      <c r="E95" s="9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8"/>
      <c r="C96" s="3"/>
      <c r="D96" s="3"/>
      <c r="E96" s="9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8"/>
      <c r="C97" s="3"/>
      <c r="D97" s="3"/>
      <c r="E97" s="9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8"/>
      <c r="C98" s="3"/>
      <c r="D98" s="3"/>
      <c r="E98" s="9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8"/>
      <c r="C99" s="3"/>
      <c r="D99" s="3"/>
      <c r="E99" s="9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8"/>
      <c r="C100" s="3"/>
      <c r="D100" s="3"/>
      <c r="E100" s="9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8"/>
      <c r="C101" s="3"/>
      <c r="D101" s="3"/>
      <c r="E101" s="9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8"/>
      <c r="C102" s="3"/>
      <c r="D102" s="3"/>
      <c r="E102" s="9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8"/>
      <c r="C103" s="3"/>
      <c r="D103" s="3"/>
      <c r="E103" s="9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8"/>
      <c r="C104" s="3"/>
      <c r="D104" s="3"/>
      <c r="E104" s="9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8"/>
      <c r="C105" s="3"/>
      <c r="D105" s="3"/>
      <c r="E105" s="9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8"/>
      <c r="C106" s="3"/>
      <c r="D106" s="3"/>
      <c r="E106" s="9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8"/>
      <c r="C107" s="3"/>
      <c r="D107" s="3"/>
      <c r="E107" s="9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8"/>
      <c r="C108" s="3"/>
      <c r="D108" s="3"/>
      <c r="E108" s="9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8"/>
      <c r="C109" s="3"/>
      <c r="D109" s="3"/>
      <c r="E109" s="9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8"/>
      <c r="C110" s="3"/>
      <c r="D110" s="3"/>
      <c r="E110" s="9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8"/>
      <c r="C111" s="3"/>
      <c r="D111" s="3"/>
      <c r="E111" s="9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8"/>
      <c r="C112" s="3"/>
      <c r="D112" s="3"/>
      <c r="E112" s="9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8"/>
      <c r="C113" s="3"/>
      <c r="D113" s="3"/>
      <c r="E113" s="9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8"/>
      <c r="C114" s="3"/>
      <c r="D114" s="3"/>
      <c r="E114" s="9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8"/>
      <c r="C115" s="3"/>
      <c r="D115" s="3"/>
      <c r="E115" s="9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8"/>
      <c r="C116" s="3"/>
      <c r="D116" s="3"/>
      <c r="E116" s="9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8"/>
      <c r="C117" s="3"/>
      <c r="D117" s="3"/>
      <c r="E117" s="9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8"/>
      <c r="C118" s="3"/>
      <c r="D118" s="3"/>
      <c r="E118" s="9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8"/>
      <c r="C119" s="3"/>
      <c r="D119" s="3"/>
      <c r="E119" s="9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8"/>
      <c r="C120" s="3"/>
      <c r="D120" s="3"/>
      <c r="E120" s="9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8"/>
      <c r="C121" s="3"/>
      <c r="D121" s="3"/>
      <c r="E121" s="9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8"/>
      <c r="C122" s="3"/>
      <c r="D122" s="3"/>
      <c r="E122" s="9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8"/>
      <c r="C123" s="3"/>
      <c r="D123" s="3"/>
      <c r="E123" s="9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8"/>
      <c r="C124" s="3"/>
      <c r="D124" s="3"/>
      <c r="E124" s="9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8"/>
      <c r="C125" s="3"/>
      <c r="D125" s="3"/>
      <c r="E125" s="9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8"/>
      <c r="C126" s="3"/>
      <c r="D126" s="3"/>
      <c r="E126" s="9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8"/>
      <c r="C127" s="3"/>
      <c r="D127" s="3"/>
      <c r="E127" s="9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8"/>
      <c r="C128" s="3"/>
      <c r="D128" s="3"/>
      <c r="E128" s="9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8"/>
      <c r="C129" s="3"/>
      <c r="D129" s="3"/>
      <c r="E129" s="9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8"/>
      <c r="C130" s="3"/>
      <c r="D130" s="3"/>
      <c r="E130" s="9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8"/>
      <c r="C131" s="3"/>
      <c r="D131" s="3"/>
      <c r="E131" s="9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8"/>
      <c r="C132" s="3"/>
      <c r="D132" s="3"/>
      <c r="E132" s="9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8"/>
      <c r="C133" s="3"/>
      <c r="D133" s="3"/>
      <c r="E133" s="9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8"/>
      <c r="C134" s="3"/>
      <c r="D134" s="3"/>
      <c r="E134" s="9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8"/>
      <c r="C135" s="3"/>
      <c r="D135" s="3"/>
      <c r="E135" s="9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8"/>
      <c r="C136" s="3"/>
      <c r="D136" s="3"/>
      <c r="E136" s="9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8"/>
      <c r="C137" s="3"/>
      <c r="D137" s="3"/>
      <c r="E137" s="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8"/>
      <c r="C138" s="3"/>
      <c r="D138" s="3"/>
      <c r="E138" s="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8"/>
      <c r="C139" s="3"/>
      <c r="D139" s="3"/>
      <c r="E139" s="9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8"/>
      <c r="C140" s="3"/>
      <c r="D140" s="3"/>
      <c r="E140" s="9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8"/>
      <c r="C141" s="3"/>
      <c r="D141" s="3"/>
      <c r="E141" s="9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8"/>
      <c r="C142" s="3"/>
      <c r="D142" s="3"/>
      <c r="E142" s="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8"/>
      <c r="C143" s="3"/>
      <c r="D143" s="3"/>
      <c r="E143" s="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8"/>
      <c r="C144" s="3"/>
      <c r="D144" s="3"/>
      <c r="E144" s="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8"/>
      <c r="C145" s="3"/>
      <c r="D145" s="3"/>
      <c r="E145" s="9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8"/>
      <c r="C146" s="3"/>
      <c r="D146" s="3"/>
      <c r="E146" s="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8"/>
      <c r="C147" s="3"/>
      <c r="D147" s="3"/>
      <c r="E147" s="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8"/>
      <c r="C148" s="3"/>
      <c r="D148" s="3"/>
      <c r="E148" s="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8"/>
      <c r="C149" s="3"/>
      <c r="D149" s="3"/>
      <c r="E149" s="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8"/>
      <c r="C150" s="3"/>
      <c r="D150" s="3"/>
      <c r="E150" s="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8"/>
      <c r="C151" s="3"/>
      <c r="D151" s="3"/>
      <c r="E151" s="9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8"/>
      <c r="C152" s="3"/>
      <c r="D152" s="3"/>
      <c r="E152" s="9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8"/>
      <c r="C153" s="3"/>
      <c r="D153" s="3"/>
      <c r="E153" s="9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8"/>
      <c r="C154" s="3"/>
      <c r="D154" s="3"/>
      <c r="E154" s="9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8"/>
      <c r="C155" s="3"/>
      <c r="D155" s="3"/>
      <c r="E155" s="9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8"/>
      <c r="C156" s="3"/>
      <c r="D156" s="3"/>
      <c r="E156" s="9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8"/>
      <c r="C157" s="3"/>
      <c r="D157" s="3"/>
      <c r="E157" s="9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8"/>
      <c r="C158" s="3"/>
      <c r="D158" s="3"/>
      <c r="E158" s="9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8"/>
      <c r="C159" s="3"/>
      <c r="D159" s="3"/>
      <c r="E159" s="9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8"/>
      <c r="C160" s="3"/>
      <c r="D160" s="3"/>
      <c r="E160" s="9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8"/>
      <c r="C161" s="3"/>
      <c r="D161" s="3"/>
      <c r="E161" s="9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8"/>
      <c r="C162" s="3"/>
      <c r="D162" s="3"/>
      <c r="E162" s="9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8"/>
      <c r="C163" s="3"/>
      <c r="D163" s="3"/>
      <c r="E163" s="9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8"/>
      <c r="C164" s="3"/>
      <c r="D164" s="3"/>
      <c r="E164" s="9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8"/>
      <c r="C165" s="3"/>
      <c r="D165" s="3"/>
      <c r="E165" s="9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8"/>
      <c r="C166" s="3"/>
      <c r="D166" s="3"/>
      <c r="E166" s="9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8"/>
      <c r="C167" s="3"/>
      <c r="D167" s="3"/>
      <c r="E167" s="9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8"/>
      <c r="C168" s="3"/>
      <c r="D168" s="3"/>
      <c r="E168" s="9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8"/>
      <c r="C169" s="3"/>
      <c r="D169" s="3"/>
      <c r="E169" s="9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8"/>
      <c r="C170" s="3"/>
      <c r="D170" s="3"/>
      <c r="E170" s="9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8"/>
      <c r="C171" s="3"/>
      <c r="D171" s="3"/>
      <c r="E171" s="9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8"/>
      <c r="C172" s="3"/>
      <c r="D172" s="3"/>
      <c r="E172" s="9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8"/>
      <c r="C173" s="3"/>
      <c r="D173" s="3"/>
      <c r="E173" s="9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8"/>
      <c r="C174" s="3"/>
      <c r="D174" s="3"/>
      <c r="E174" s="9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8"/>
      <c r="C175" s="3"/>
      <c r="D175" s="3"/>
      <c r="E175" s="9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8"/>
      <c r="C176" s="3"/>
      <c r="D176" s="3"/>
      <c r="E176" s="9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8"/>
      <c r="C177" s="3"/>
      <c r="D177" s="3"/>
      <c r="E177" s="9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8"/>
      <c r="C178" s="3"/>
      <c r="D178" s="3"/>
      <c r="E178" s="9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8"/>
      <c r="C179" s="3"/>
      <c r="D179" s="3"/>
      <c r="E179" s="9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8"/>
      <c r="C180" s="3"/>
      <c r="D180" s="3"/>
      <c r="E180" s="9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8"/>
      <c r="C181" s="3"/>
      <c r="D181" s="3"/>
      <c r="E181" s="9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8"/>
      <c r="C182" s="3"/>
      <c r="D182" s="3"/>
      <c r="E182" s="9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8"/>
      <c r="C183" s="3"/>
      <c r="D183" s="3"/>
      <c r="E183" s="9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8"/>
      <c r="C184" s="3"/>
      <c r="D184" s="3"/>
      <c r="E184" s="9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8"/>
      <c r="C185" s="3"/>
      <c r="D185" s="3"/>
      <c r="E185" s="9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8"/>
      <c r="C186" s="3"/>
      <c r="D186" s="3"/>
      <c r="E186" s="9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8"/>
      <c r="C187" s="3"/>
      <c r="D187" s="3"/>
      <c r="E187" s="9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8"/>
      <c r="C188" s="3"/>
      <c r="D188" s="3"/>
      <c r="E188" s="9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8"/>
      <c r="C189" s="3"/>
      <c r="D189" s="3"/>
      <c r="E189" s="9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8"/>
      <c r="C190" s="3"/>
      <c r="D190" s="3"/>
      <c r="E190" s="9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8"/>
      <c r="C191" s="3"/>
      <c r="D191" s="3"/>
      <c r="E191" s="9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8"/>
      <c r="C192" s="3"/>
      <c r="D192" s="3"/>
      <c r="E192" s="9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8"/>
      <c r="C193" s="3"/>
      <c r="D193" s="3"/>
      <c r="E193" s="9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8"/>
      <c r="C194" s="3"/>
      <c r="D194" s="3"/>
      <c r="E194" s="9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8"/>
      <c r="C195" s="3"/>
      <c r="D195" s="3"/>
      <c r="E195" s="9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8"/>
      <c r="C196" s="3"/>
      <c r="D196" s="3"/>
      <c r="E196" s="9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8"/>
      <c r="C197" s="3"/>
      <c r="D197" s="3"/>
      <c r="E197" s="9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8"/>
      <c r="C198" s="3"/>
      <c r="D198" s="3"/>
      <c r="E198" s="9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8"/>
      <c r="C199" s="3"/>
      <c r="D199" s="3"/>
      <c r="E199" s="9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8"/>
      <c r="C200" s="3"/>
      <c r="D200" s="3"/>
      <c r="E200" s="9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8"/>
      <c r="C201" s="3"/>
      <c r="D201" s="3"/>
      <c r="E201" s="9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8"/>
      <c r="C202" s="3"/>
      <c r="D202" s="3"/>
      <c r="E202" s="9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8"/>
      <c r="C203" s="3"/>
      <c r="D203" s="3"/>
      <c r="E203" s="9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8"/>
      <c r="C204" s="3"/>
      <c r="D204" s="3"/>
      <c r="E204" s="9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8"/>
      <c r="C205" s="3"/>
      <c r="D205" s="3"/>
      <c r="E205" s="9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8"/>
      <c r="C206" s="3"/>
      <c r="D206" s="3"/>
      <c r="E206" s="9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8"/>
      <c r="C207" s="3"/>
      <c r="D207" s="3"/>
      <c r="E207" s="9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8"/>
      <c r="C208" s="3"/>
      <c r="D208" s="3"/>
      <c r="E208" s="9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8"/>
      <c r="C209" s="3"/>
      <c r="D209" s="3"/>
      <c r="E209" s="9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8"/>
      <c r="C210" s="3"/>
      <c r="D210" s="3"/>
      <c r="E210" s="9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8"/>
      <c r="C211" s="3"/>
      <c r="D211" s="3"/>
      <c r="E211" s="9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8"/>
      <c r="C212" s="3"/>
      <c r="D212" s="3"/>
      <c r="E212" s="9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8"/>
      <c r="C213" s="3"/>
      <c r="D213" s="3"/>
      <c r="E213" s="9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8"/>
      <c r="C214" s="3"/>
      <c r="D214" s="3"/>
      <c r="E214" s="9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8"/>
      <c r="C215" s="3"/>
      <c r="D215" s="3"/>
      <c r="E215" s="9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8"/>
      <c r="C216" s="3"/>
      <c r="D216" s="3"/>
      <c r="E216" s="9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8"/>
      <c r="C217" s="3"/>
      <c r="D217" s="3"/>
      <c r="E217" s="9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8"/>
      <c r="C218" s="3"/>
      <c r="D218" s="3"/>
      <c r="E218" s="9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8"/>
      <c r="C219" s="3"/>
      <c r="D219" s="3"/>
      <c r="E219" s="9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8"/>
      <c r="C220" s="3"/>
      <c r="D220" s="3"/>
      <c r="E220" s="9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8"/>
      <c r="C221" s="3"/>
      <c r="D221" s="3"/>
      <c r="E221" s="9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8"/>
      <c r="C222" s="3"/>
      <c r="D222" s="3"/>
      <c r="E222" s="9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8"/>
      <c r="C223" s="3"/>
      <c r="D223" s="3"/>
      <c r="E223" s="9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8"/>
      <c r="C224" s="3"/>
      <c r="D224" s="3"/>
      <c r="E224" s="9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8"/>
      <c r="C225" s="3"/>
      <c r="D225" s="3"/>
      <c r="E225" s="9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8"/>
      <c r="C226" s="3"/>
      <c r="D226" s="3"/>
      <c r="E226" s="9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8"/>
      <c r="C227" s="3"/>
      <c r="D227" s="3"/>
      <c r="E227" s="9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8"/>
      <c r="C228" s="3"/>
      <c r="D228" s="3"/>
      <c r="E228" s="9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8"/>
      <c r="C229" s="3"/>
      <c r="D229" s="3"/>
      <c r="E229" s="9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8"/>
      <c r="C230" s="3"/>
      <c r="D230" s="3"/>
      <c r="E230" s="9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8"/>
      <c r="C231" s="3"/>
      <c r="D231" s="3"/>
      <c r="E231" s="9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8"/>
      <c r="C232" s="3"/>
      <c r="D232" s="3"/>
      <c r="E232" s="9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8"/>
      <c r="C233" s="3"/>
      <c r="D233" s="3"/>
      <c r="E233" s="9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8"/>
      <c r="C234" s="3"/>
      <c r="D234" s="3"/>
      <c r="E234" s="9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8"/>
      <c r="C235" s="3"/>
      <c r="D235" s="3"/>
      <c r="E235" s="9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8"/>
      <c r="C236" s="3"/>
      <c r="D236" s="3"/>
      <c r="E236" s="9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8"/>
      <c r="C237" s="3"/>
      <c r="D237" s="3"/>
      <c r="E237" s="9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8"/>
      <c r="C238" s="3"/>
      <c r="D238" s="3"/>
      <c r="E238" s="9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8"/>
      <c r="C239" s="3"/>
      <c r="D239" s="3"/>
      <c r="E239" s="9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8"/>
      <c r="C240" s="3"/>
      <c r="D240" s="3"/>
      <c r="E240" s="9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8"/>
      <c r="C241" s="3"/>
      <c r="D241" s="3"/>
      <c r="E241" s="9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8"/>
      <c r="C242" s="3"/>
      <c r="D242" s="3"/>
      <c r="E242" s="9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8"/>
      <c r="C243" s="3"/>
      <c r="D243" s="3"/>
      <c r="E243" s="9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8"/>
      <c r="C244" s="3"/>
      <c r="D244" s="3"/>
      <c r="E244" s="9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8"/>
      <c r="C245" s="3"/>
      <c r="D245" s="3"/>
      <c r="E245" s="9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8"/>
      <c r="C246" s="3"/>
      <c r="D246" s="3"/>
      <c r="E246" s="9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8"/>
      <c r="C247" s="3"/>
      <c r="D247" s="3"/>
      <c r="E247" s="9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8"/>
      <c r="C248" s="3"/>
      <c r="D248" s="3"/>
      <c r="E248" s="9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8"/>
      <c r="C249" s="3"/>
      <c r="D249" s="3"/>
      <c r="E249" s="9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8"/>
      <c r="C250" s="3"/>
      <c r="D250" s="3"/>
      <c r="E250" s="9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8"/>
      <c r="C251" s="3"/>
      <c r="D251" s="3"/>
      <c r="E251" s="9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8"/>
      <c r="C252" s="3"/>
      <c r="D252" s="3"/>
      <c r="E252" s="9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8"/>
      <c r="C253" s="3"/>
      <c r="D253" s="3"/>
      <c r="E253" s="9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8"/>
      <c r="C254" s="3"/>
      <c r="D254" s="3"/>
      <c r="E254" s="9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8"/>
      <c r="C255" s="3"/>
      <c r="D255" s="3"/>
      <c r="E255" s="9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8"/>
      <c r="C256" s="3"/>
      <c r="D256" s="3"/>
      <c r="E256" s="9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8"/>
      <c r="C257" s="3"/>
      <c r="D257" s="3"/>
      <c r="E257" s="9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8"/>
      <c r="C258" s="3"/>
      <c r="D258" s="3"/>
      <c r="E258" s="9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8"/>
      <c r="C259" s="3"/>
      <c r="D259" s="3"/>
      <c r="E259" s="9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8"/>
      <c r="C260" s="3"/>
      <c r="D260" s="3"/>
      <c r="E260" s="9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8"/>
      <c r="C261" s="3"/>
      <c r="D261" s="3"/>
      <c r="E261" s="9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8"/>
      <c r="C262" s="3"/>
      <c r="D262" s="3"/>
      <c r="E262" s="9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8"/>
      <c r="C263" s="3"/>
      <c r="D263" s="3"/>
      <c r="E263" s="9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8"/>
      <c r="C264" s="3"/>
      <c r="D264" s="3"/>
      <c r="E264" s="9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8"/>
      <c r="C265" s="3"/>
      <c r="D265" s="3"/>
      <c r="E265" s="9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8"/>
      <c r="C266" s="3"/>
      <c r="D266" s="3"/>
      <c r="E266" s="9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8"/>
      <c r="C267" s="3"/>
      <c r="D267" s="3"/>
      <c r="E267" s="9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8"/>
      <c r="C268" s="3"/>
      <c r="D268" s="3"/>
      <c r="E268" s="9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8"/>
      <c r="C269" s="3"/>
      <c r="D269" s="3"/>
      <c r="E269" s="9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8"/>
      <c r="C270" s="3"/>
      <c r="D270" s="3"/>
      <c r="E270" s="9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8"/>
      <c r="C271" s="3"/>
      <c r="D271" s="3"/>
      <c r="E271" s="9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8"/>
      <c r="C272" s="3"/>
      <c r="D272" s="3"/>
      <c r="E272" s="9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8"/>
      <c r="C273" s="3"/>
      <c r="D273" s="3"/>
      <c r="E273" s="9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8"/>
      <c r="C274" s="3"/>
      <c r="D274" s="3"/>
      <c r="E274" s="9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8"/>
      <c r="C275" s="3"/>
      <c r="D275" s="3"/>
      <c r="E275" s="9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8"/>
      <c r="C276" s="3"/>
      <c r="D276" s="3"/>
      <c r="E276" s="9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8"/>
      <c r="C277" s="3"/>
      <c r="D277" s="3"/>
      <c r="E277" s="9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8"/>
      <c r="C278" s="3"/>
      <c r="D278" s="3"/>
      <c r="E278" s="9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8"/>
      <c r="C279" s="3"/>
      <c r="D279" s="3"/>
      <c r="E279" s="9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8"/>
      <c r="C280" s="3"/>
      <c r="D280" s="3"/>
      <c r="E280" s="9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8"/>
      <c r="C281" s="3"/>
      <c r="D281" s="3"/>
      <c r="E281" s="9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8"/>
      <c r="C282" s="3"/>
      <c r="D282" s="3"/>
      <c r="E282" s="9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8"/>
      <c r="C283" s="3"/>
      <c r="D283" s="3"/>
      <c r="E283" s="9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8"/>
      <c r="C284" s="3"/>
      <c r="D284" s="3"/>
      <c r="E284" s="9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8"/>
      <c r="C285" s="3"/>
      <c r="D285" s="3"/>
      <c r="E285" s="9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8"/>
      <c r="C286" s="3"/>
      <c r="D286" s="3"/>
      <c r="E286" s="9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8"/>
      <c r="C287" s="3"/>
      <c r="D287" s="3"/>
      <c r="E287" s="9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8"/>
      <c r="C288" s="3"/>
      <c r="D288" s="3"/>
      <c r="E288" s="9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8"/>
      <c r="C289" s="3"/>
      <c r="D289" s="3"/>
      <c r="E289" s="9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8"/>
      <c r="C290" s="3"/>
      <c r="D290" s="3"/>
      <c r="E290" s="9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8"/>
      <c r="C291" s="3"/>
      <c r="D291" s="3"/>
      <c r="E291" s="9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8"/>
      <c r="C292" s="3"/>
      <c r="D292" s="3"/>
      <c r="E292" s="9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8"/>
      <c r="C293" s="3"/>
      <c r="D293" s="3"/>
      <c r="E293" s="9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8"/>
      <c r="C294" s="3"/>
      <c r="D294" s="3"/>
      <c r="E294" s="9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8"/>
      <c r="C295" s="3"/>
      <c r="D295" s="3"/>
      <c r="E295" s="9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8"/>
      <c r="C296" s="3"/>
      <c r="D296" s="3"/>
      <c r="E296" s="9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8"/>
      <c r="C297" s="3"/>
      <c r="D297" s="3"/>
      <c r="E297" s="9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8"/>
      <c r="C298" s="3"/>
      <c r="D298" s="3"/>
      <c r="E298" s="9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8"/>
      <c r="C299" s="3"/>
      <c r="D299" s="3"/>
      <c r="E299" s="9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8"/>
      <c r="C300" s="3"/>
      <c r="D300" s="3"/>
      <c r="E300" s="9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8"/>
      <c r="C301" s="3"/>
      <c r="D301" s="3"/>
      <c r="E301" s="9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8"/>
      <c r="C302" s="3"/>
      <c r="D302" s="3"/>
      <c r="E302" s="9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8"/>
      <c r="C303" s="3"/>
      <c r="D303" s="3"/>
      <c r="E303" s="9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8"/>
      <c r="C304" s="3"/>
      <c r="D304" s="3"/>
      <c r="E304" s="9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8"/>
      <c r="C305" s="3"/>
      <c r="D305" s="3"/>
      <c r="E305" s="9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8"/>
      <c r="C306" s="3"/>
      <c r="D306" s="3"/>
      <c r="E306" s="9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8"/>
      <c r="C307" s="3"/>
      <c r="D307" s="3"/>
      <c r="E307" s="9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8"/>
      <c r="C308" s="3"/>
      <c r="D308" s="3"/>
      <c r="E308" s="9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8"/>
      <c r="C309" s="3"/>
      <c r="D309" s="3"/>
      <c r="E309" s="9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8"/>
      <c r="C310" s="3"/>
      <c r="D310" s="3"/>
      <c r="E310" s="9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8"/>
      <c r="C311" s="3"/>
      <c r="D311" s="3"/>
      <c r="E311" s="9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8"/>
      <c r="C312" s="3"/>
      <c r="D312" s="3"/>
      <c r="E312" s="9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8"/>
      <c r="C313" s="3"/>
      <c r="D313" s="3"/>
      <c r="E313" s="9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8"/>
      <c r="C314" s="3"/>
      <c r="D314" s="3"/>
      <c r="E314" s="9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8"/>
      <c r="C315" s="3"/>
      <c r="D315" s="3"/>
      <c r="E315" s="9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8"/>
      <c r="C316" s="3"/>
      <c r="D316" s="3"/>
      <c r="E316" s="9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8"/>
      <c r="C317" s="3"/>
      <c r="D317" s="3"/>
      <c r="E317" s="9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8"/>
      <c r="C318" s="3"/>
      <c r="D318" s="3"/>
      <c r="E318" s="9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8"/>
      <c r="C319" s="3"/>
      <c r="D319" s="3"/>
      <c r="E319" s="9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8"/>
      <c r="C320" s="3"/>
      <c r="D320" s="3"/>
      <c r="E320" s="9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8"/>
      <c r="C321" s="3"/>
      <c r="D321" s="3"/>
      <c r="E321" s="9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8"/>
      <c r="C322" s="3"/>
      <c r="D322" s="3"/>
      <c r="E322" s="9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8"/>
      <c r="C323" s="3"/>
      <c r="D323" s="3"/>
      <c r="E323" s="9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8"/>
      <c r="C324" s="3"/>
      <c r="D324" s="3"/>
      <c r="E324" s="9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8"/>
      <c r="C325" s="3"/>
      <c r="D325" s="3"/>
      <c r="E325" s="9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8"/>
      <c r="C326" s="3"/>
      <c r="D326" s="3"/>
      <c r="E326" s="9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8"/>
      <c r="C327" s="3"/>
      <c r="D327" s="3"/>
      <c r="E327" s="9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8"/>
      <c r="C328" s="3"/>
      <c r="D328" s="3"/>
      <c r="E328" s="9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8"/>
      <c r="C329" s="3"/>
      <c r="D329" s="3"/>
      <c r="E329" s="9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8"/>
      <c r="C330" s="3"/>
      <c r="D330" s="3"/>
      <c r="E330" s="9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8"/>
      <c r="C331" s="3"/>
      <c r="D331" s="3"/>
      <c r="E331" s="9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8"/>
      <c r="C332" s="3"/>
      <c r="D332" s="3"/>
      <c r="E332" s="9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8"/>
      <c r="C333" s="3"/>
      <c r="D333" s="3"/>
      <c r="E333" s="9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8"/>
      <c r="C334" s="3"/>
      <c r="D334" s="3"/>
      <c r="E334" s="9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8"/>
      <c r="C335" s="3"/>
      <c r="D335" s="3"/>
      <c r="E335" s="9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8"/>
      <c r="C336" s="3"/>
      <c r="D336" s="3"/>
      <c r="E336" s="9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8"/>
      <c r="C337" s="3"/>
      <c r="D337" s="3"/>
      <c r="E337" s="9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8"/>
      <c r="C338" s="3"/>
      <c r="D338" s="3"/>
      <c r="E338" s="9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8"/>
      <c r="C339" s="3"/>
      <c r="D339" s="3"/>
      <c r="E339" s="9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8"/>
      <c r="C340" s="3"/>
      <c r="D340" s="3"/>
      <c r="E340" s="9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8"/>
      <c r="C341" s="3"/>
      <c r="D341" s="3"/>
      <c r="E341" s="9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8"/>
      <c r="C342" s="3"/>
      <c r="D342" s="3"/>
      <c r="E342" s="9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8"/>
      <c r="C343" s="3"/>
      <c r="D343" s="3"/>
      <c r="E343" s="9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8"/>
      <c r="C344" s="3"/>
      <c r="D344" s="3"/>
      <c r="E344" s="9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8"/>
      <c r="C345" s="3"/>
      <c r="D345" s="3"/>
      <c r="E345" s="9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8"/>
      <c r="C346" s="3"/>
      <c r="D346" s="3"/>
      <c r="E346" s="9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8"/>
      <c r="C347" s="3"/>
      <c r="D347" s="3"/>
      <c r="E347" s="9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8"/>
      <c r="C348" s="3"/>
      <c r="D348" s="3"/>
      <c r="E348" s="9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8"/>
      <c r="C349" s="3"/>
      <c r="D349" s="3"/>
      <c r="E349" s="9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8"/>
      <c r="C350" s="3"/>
      <c r="D350" s="3"/>
      <c r="E350" s="9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8"/>
      <c r="C351" s="3"/>
      <c r="D351" s="3"/>
      <c r="E351" s="9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8"/>
      <c r="C352" s="3"/>
      <c r="D352" s="3"/>
      <c r="E352" s="9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8"/>
      <c r="C353" s="3"/>
      <c r="D353" s="3"/>
      <c r="E353" s="9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8"/>
      <c r="C354" s="3"/>
      <c r="D354" s="3"/>
      <c r="E354" s="9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8"/>
      <c r="C355" s="3"/>
      <c r="D355" s="3"/>
      <c r="E355" s="9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8"/>
      <c r="C356" s="3"/>
      <c r="D356" s="3"/>
      <c r="E356" s="9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8"/>
      <c r="C357" s="3"/>
      <c r="D357" s="3"/>
      <c r="E357" s="9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8"/>
      <c r="C358" s="3"/>
      <c r="D358" s="3"/>
      <c r="E358" s="9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8"/>
      <c r="C359" s="3"/>
      <c r="D359" s="3"/>
      <c r="E359" s="9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8"/>
      <c r="C360" s="3"/>
      <c r="D360" s="3"/>
      <c r="E360" s="9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8"/>
      <c r="C361" s="3"/>
      <c r="D361" s="3"/>
      <c r="E361" s="9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8"/>
      <c r="C362" s="3"/>
      <c r="D362" s="3"/>
      <c r="E362" s="9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8"/>
      <c r="C363" s="3"/>
      <c r="D363" s="3"/>
      <c r="E363" s="9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8"/>
      <c r="C364" s="3"/>
      <c r="D364" s="3"/>
      <c r="E364" s="9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8"/>
      <c r="C365" s="3"/>
      <c r="D365" s="3"/>
      <c r="E365" s="9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8"/>
      <c r="C366" s="3"/>
      <c r="D366" s="3"/>
      <c r="E366" s="9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8"/>
      <c r="C367" s="3"/>
      <c r="D367" s="3"/>
      <c r="E367" s="9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8"/>
      <c r="C368" s="3"/>
      <c r="D368" s="3"/>
      <c r="E368" s="9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8"/>
      <c r="C369" s="3"/>
      <c r="D369" s="3"/>
      <c r="E369" s="9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8"/>
      <c r="C370" s="3"/>
      <c r="D370" s="3"/>
      <c r="E370" s="9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8"/>
      <c r="C371" s="3"/>
      <c r="D371" s="3"/>
      <c r="E371" s="9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8"/>
      <c r="C372" s="3"/>
      <c r="D372" s="3"/>
      <c r="E372" s="9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8"/>
      <c r="C373" s="3"/>
      <c r="D373" s="3"/>
      <c r="E373" s="9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8"/>
      <c r="C374" s="3"/>
      <c r="D374" s="3"/>
      <c r="E374" s="9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8"/>
      <c r="C375" s="3"/>
      <c r="D375" s="3"/>
      <c r="E375" s="9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8"/>
      <c r="C376" s="3"/>
      <c r="D376" s="3"/>
      <c r="E376" s="9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8"/>
      <c r="C377" s="3"/>
      <c r="D377" s="3"/>
      <c r="E377" s="9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8"/>
      <c r="C378" s="3"/>
      <c r="D378" s="3"/>
      <c r="E378" s="9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8"/>
      <c r="C379" s="3"/>
      <c r="D379" s="3"/>
      <c r="E379" s="9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8"/>
      <c r="C380" s="3"/>
      <c r="D380" s="3"/>
      <c r="E380" s="9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8"/>
      <c r="C381" s="3"/>
      <c r="D381" s="3"/>
      <c r="E381" s="9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8"/>
      <c r="C382" s="3"/>
      <c r="D382" s="3"/>
      <c r="E382" s="9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8"/>
      <c r="C383" s="3"/>
      <c r="D383" s="3"/>
      <c r="E383" s="9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8"/>
      <c r="C384" s="3"/>
      <c r="D384" s="3"/>
      <c r="E384" s="9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8"/>
      <c r="C385" s="3"/>
      <c r="D385" s="3"/>
      <c r="E385" s="9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8"/>
      <c r="C386" s="3"/>
      <c r="D386" s="3"/>
      <c r="E386" s="9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8"/>
      <c r="C387" s="3"/>
      <c r="D387" s="3"/>
      <c r="E387" s="9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8"/>
      <c r="C388" s="3"/>
      <c r="D388" s="3"/>
      <c r="E388" s="9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8"/>
      <c r="C389" s="3"/>
      <c r="D389" s="3"/>
      <c r="E389" s="9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8"/>
      <c r="C390" s="3"/>
      <c r="D390" s="3"/>
      <c r="E390" s="9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8"/>
      <c r="C391" s="3"/>
      <c r="D391" s="3"/>
      <c r="E391" s="9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8"/>
      <c r="C392" s="3"/>
      <c r="D392" s="3"/>
      <c r="E392" s="9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8"/>
      <c r="C393" s="3"/>
      <c r="D393" s="3"/>
      <c r="E393" s="9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8"/>
      <c r="C394" s="3"/>
      <c r="D394" s="3"/>
      <c r="E394" s="9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8"/>
      <c r="C395" s="3"/>
      <c r="D395" s="3"/>
      <c r="E395" s="9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8"/>
      <c r="C396" s="3"/>
      <c r="D396" s="3"/>
      <c r="E396" s="9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8"/>
      <c r="C397" s="3"/>
      <c r="D397" s="3"/>
      <c r="E397" s="9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8"/>
      <c r="C398" s="3"/>
      <c r="D398" s="3"/>
      <c r="E398" s="9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8"/>
      <c r="C399" s="3"/>
      <c r="D399" s="3"/>
      <c r="E399" s="9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8"/>
      <c r="C400" s="3"/>
      <c r="D400" s="3"/>
      <c r="E400" s="9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8"/>
      <c r="C401" s="3"/>
      <c r="D401" s="3"/>
      <c r="E401" s="9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8"/>
      <c r="C402" s="3"/>
      <c r="D402" s="3"/>
      <c r="E402" s="9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8"/>
      <c r="C403" s="3"/>
      <c r="D403" s="3"/>
      <c r="E403" s="9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8"/>
      <c r="C404" s="3"/>
      <c r="D404" s="3"/>
      <c r="E404" s="9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8"/>
      <c r="C405" s="3"/>
      <c r="D405" s="3"/>
      <c r="E405" s="9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8"/>
      <c r="C406" s="3"/>
      <c r="D406" s="3"/>
      <c r="E406" s="9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8"/>
      <c r="C407" s="3"/>
      <c r="D407" s="3"/>
      <c r="E407" s="9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8"/>
      <c r="C408" s="3"/>
      <c r="D408" s="3"/>
      <c r="E408" s="9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8"/>
      <c r="C409" s="3"/>
      <c r="D409" s="3"/>
      <c r="E409" s="9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8"/>
      <c r="C410" s="3"/>
      <c r="D410" s="3"/>
      <c r="E410" s="9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8"/>
      <c r="C411" s="3"/>
      <c r="D411" s="3"/>
      <c r="E411" s="9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8"/>
      <c r="C412" s="3"/>
      <c r="D412" s="3"/>
      <c r="E412" s="9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8"/>
      <c r="C413" s="3"/>
      <c r="D413" s="3"/>
      <c r="E413" s="9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8"/>
      <c r="C414" s="3"/>
      <c r="D414" s="3"/>
      <c r="E414" s="9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8"/>
      <c r="C415" s="3"/>
      <c r="D415" s="3"/>
      <c r="E415" s="9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8"/>
      <c r="C416" s="3"/>
      <c r="D416" s="3"/>
      <c r="E416" s="9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8"/>
      <c r="C417" s="3"/>
      <c r="D417" s="3"/>
      <c r="E417" s="9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8"/>
      <c r="C418" s="3"/>
      <c r="D418" s="3"/>
      <c r="E418" s="9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8"/>
      <c r="C419" s="3"/>
      <c r="D419" s="3"/>
      <c r="E419" s="9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8"/>
      <c r="C420" s="3"/>
      <c r="D420" s="3"/>
      <c r="E420" s="9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8"/>
      <c r="C421" s="3"/>
      <c r="D421" s="3"/>
      <c r="E421" s="9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8"/>
      <c r="C422" s="3"/>
      <c r="D422" s="3"/>
      <c r="E422" s="9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8"/>
      <c r="C423" s="3"/>
      <c r="D423" s="3"/>
      <c r="E423" s="9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8"/>
      <c r="C424" s="3"/>
      <c r="D424" s="3"/>
      <c r="E424" s="9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8"/>
      <c r="C425" s="3"/>
      <c r="D425" s="3"/>
      <c r="E425" s="9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8"/>
      <c r="C426" s="3"/>
      <c r="D426" s="3"/>
      <c r="E426" s="9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8"/>
      <c r="C427" s="3"/>
      <c r="D427" s="3"/>
      <c r="E427" s="9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8"/>
      <c r="C428" s="3"/>
      <c r="D428" s="3"/>
      <c r="E428" s="9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8"/>
      <c r="C429" s="3"/>
      <c r="D429" s="3"/>
      <c r="E429" s="9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8"/>
      <c r="C430" s="3"/>
      <c r="D430" s="3"/>
      <c r="E430" s="9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8"/>
      <c r="C431" s="3"/>
      <c r="D431" s="3"/>
      <c r="E431" s="9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8"/>
      <c r="C432" s="3"/>
      <c r="D432" s="3"/>
      <c r="E432" s="9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8"/>
      <c r="C433" s="3"/>
      <c r="D433" s="3"/>
      <c r="E433" s="9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8"/>
      <c r="C434" s="3"/>
      <c r="D434" s="3"/>
      <c r="E434" s="9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8"/>
      <c r="C435" s="3"/>
      <c r="D435" s="3"/>
      <c r="E435" s="9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8"/>
      <c r="C436" s="3"/>
      <c r="D436" s="3"/>
      <c r="E436" s="9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8"/>
      <c r="C437" s="3"/>
      <c r="D437" s="3"/>
      <c r="E437" s="9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8"/>
      <c r="C438" s="3"/>
      <c r="D438" s="3"/>
      <c r="E438" s="9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8"/>
      <c r="C439" s="3"/>
      <c r="D439" s="3"/>
      <c r="E439" s="9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8"/>
      <c r="C440" s="3"/>
      <c r="D440" s="3"/>
      <c r="E440" s="9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8"/>
      <c r="C441" s="3"/>
      <c r="D441" s="3"/>
      <c r="E441" s="9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8"/>
      <c r="C442" s="3"/>
      <c r="D442" s="3"/>
      <c r="E442" s="9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8"/>
      <c r="C443" s="3"/>
      <c r="D443" s="3"/>
      <c r="E443" s="9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8"/>
      <c r="C444" s="3"/>
      <c r="D444" s="3"/>
      <c r="E444" s="9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8"/>
      <c r="C445" s="3"/>
      <c r="D445" s="3"/>
      <c r="E445" s="9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8"/>
      <c r="C446" s="3"/>
      <c r="D446" s="3"/>
      <c r="E446" s="9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8"/>
      <c r="C447" s="3"/>
      <c r="D447" s="3"/>
      <c r="E447" s="9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8"/>
      <c r="C448" s="3"/>
      <c r="D448" s="3"/>
      <c r="E448" s="9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8"/>
      <c r="C449" s="3"/>
      <c r="D449" s="3"/>
      <c r="E449" s="9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8"/>
      <c r="C450" s="3"/>
      <c r="D450" s="3"/>
      <c r="E450" s="9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8"/>
      <c r="C451" s="3"/>
      <c r="D451" s="3"/>
      <c r="E451" s="9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8"/>
      <c r="C452" s="3"/>
      <c r="D452" s="3"/>
      <c r="E452" s="9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8"/>
      <c r="C453" s="3"/>
      <c r="D453" s="3"/>
      <c r="E453" s="9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8"/>
      <c r="C454" s="3"/>
      <c r="D454" s="3"/>
      <c r="E454" s="9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8"/>
      <c r="C455" s="3"/>
      <c r="D455" s="3"/>
      <c r="E455" s="9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8"/>
      <c r="C456" s="3"/>
      <c r="D456" s="3"/>
      <c r="E456" s="9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8"/>
      <c r="C457" s="3"/>
      <c r="D457" s="3"/>
      <c r="E457" s="9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8"/>
      <c r="C458" s="3"/>
      <c r="D458" s="3"/>
      <c r="E458" s="9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8"/>
      <c r="C459" s="3"/>
      <c r="D459" s="3"/>
      <c r="E459" s="9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8"/>
      <c r="C460" s="3"/>
      <c r="D460" s="3"/>
      <c r="E460" s="9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8"/>
      <c r="C461" s="3"/>
      <c r="D461" s="3"/>
      <c r="E461" s="9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8"/>
      <c r="C462" s="3"/>
      <c r="D462" s="3"/>
      <c r="E462" s="9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8"/>
      <c r="C463" s="3"/>
      <c r="D463" s="3"/>
      <c r="E463" s="9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8"/>
      <c r="C464" s="3"/>
      <c r="D464" s="3"/>
      <c r="E464" s="9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8"/>
      <c r="C465" s="3"/>
      <c r="D465" s="3"/>
      <c r="E465" s="9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8"/>
      <c r="C466" s="3"/>
      <c r="D466" s="3"/>
      <c r="E466" s="9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8"/>
      <c r="C467" s="3"/>
      <c r="D467" s="3"/>
      <c r="E467" s="9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8"/>
      <c r="C468" s="3"/>
      <c r="D468" s="3"/>
      <c r="E468" s="9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8"/>
      <c r="C469" s="3"/>
      <c r="D469" s="3"/>
      <c r="E469" s="9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8"/>
      <c r="C470" s="3"/>
      <c r="D470" s="3"/>
      <c r="E470" s="9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8"/>
      <c r="C471" s="3"/>
      <c r="D471" s="3"/>
      <c r="E471" s="9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8"/>
      <c r="C472" s="3"/>
      <c r="D472" s="3"/>
      <c r="E472" s="9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8"/>
      <c r="C473" s="3"/>
      <c r="D473" s="3"/>
      <c r="E473" s="9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8"/>
      <c r="C474" s="3"/>
      <c r="D474" s="3"/>
      <c r="E474" s="9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8"/>
      <c r="C475" s="3"/>
      <c r="D475" s="3"/>
      <c r="E475" s="9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8"/>
      <c r="C476" s="3"/>
      <c r="D476" s="3"/>
      <c r="E476" s="9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8"/>
      <c r="C477" s="3"/>
      <c r="D477" s="3"/>
      <c r="E477" s="9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8"/>
      <c r="C478" s="3"/>
      <c r="D478" s="3"/>
      <c r="E478" s="9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8"/>
      <c r="C479" s="3"/>
      <c r="D479" s="3"/>
      <c r="E479" s="9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8"/>
      <c r="C480" s="3"/>
      <c r="D480" s="3"/>
      <c r="E480" s="9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8"/>
      <c r="C481" s="3"/>
      <c r="D481" s="3"/>
      <c r="E481" s="9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8"/>
      <c r="C482" s="3"/>
      <c r="D482" s="3"/>
      <c r="E482" s="9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8"/>
      <c r="C483" s="3"/>
      <c r="D483" s="3"/>
      <c r="E483" s="9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8"/>
      <c r="C484" s="3"/>
      <c r="D484" s="3"/>
      <c r="E484" s="9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8"/>
      <c r="C485" s="3"/>
      <c r="D485" s="3"/>
      <c r="E485" s="9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8"/>
      <c r="C486" s="3"/>
      <c r="D486" s="3"/>
      <c r="E486" s="9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8"/>
      <c r="C487" s="3"/>
      <c r="D487" s="3"/>
      <c r="E487" s="9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8"/>
      <c r="C488" s="3"/>
      <c r="D488" s="3"/>
      <c r="E488" s="9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8"/>
      <c r="C489" s="3"/>
      <c r="D489" s="3"/>
      <c r="E489" s="9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8"/>
      <c r="C490" s="3"/>
      <c r="D490" s="3"/>
      <c r="E490" s="9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8"/>
      <c r="C491" s="3"/>
      <c r="D491" s="3"/>
      <c r="E491" s="9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8"/>
      <c r="C492" s="3"/>
      <c r="D492" s="3"/>
      <c r="E492" s="9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8"/>
      <c r="C493" s="3"/>
      <c r="D493" s="3"/>
      <c r="E493" s="9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8"/>
      <c r="C494" s="3"/>
      <c r="D494" s="3"/>
      <c r="E494" s="9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8"/>
      <c r="C495" s="3"/>
      <c r="D495" s="3"/>
      <c r="E495" s="9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8"/>
      <c r="C496" s="3"/>
      <c r="D496" s="3"/>
      <c r="E496" s="9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8"/>
      <c r="C497" s="3"/>
      <c r="D497" s="3"/>
      <c r="E497" s="9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8"/>
      <c r="C498" s="3"/>
      <c r="D498" s="3"/>
      <c r="E498" s="9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8"/>
      <c r="C499" s="3"/>
      <c r="D499" s="3"/>
      <c r="E499" s="9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8"/>
      <c r="C500" s="3"/>
      <c r="D500" s="3"/>
      <c r="E500" s="9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8"/>
      <c r="C501" s="3"/>
      <c r="D501" s="3"/>
      <c r="E501" s="9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8"/>
      <c r="C502" s="3"/>
      <c r="D502" s="3"/>
      <c r="E502" s="9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8"/>
      <c r="C503" s="3"/>
      <c r="D503" s="3"/>
      <c r="E503" s="9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8"/>
      <c r="C504" s="3"/>
      <c r="D504" s="3"/>
      <c r="E504" s="9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8"/>
      <c r="C505" s="3"/>
      <c r="D505" s="3"/>
      <c r="E505" s="9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8"/>
      <c r="C506" s="3"/>
      <c r="D506" s="3"/>
      <c r="E506" s="9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8"/>
      <c r="C507" s="3"/>
      <c r="D507" s="3"/>
      <c r="E507" s="9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8"/>
      <c r="C508" s="3"/>
      <c r="D508" s="3"/>
      <c r="E508" s="9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8"/>
      <c r="C509" s="3"/>
      <c r="D509" s="3"/>
      <c r="E509" s="9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8"/>
      <c r="C510" s="3"/>
      <c r="D510" s="3"/>
      <c r="E510" s="9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8"/>
      <c r="C511" s="3"/>
      <c r="D511" s="3"/>
      <c r="E511" s="9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8"/>
      <c r="C512" s="3"/>
      <c r="D512" s="3"/>
      <c r="E512" s="9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8"/>
      <c r="C513" s="3"/>
      <c r="D513" s="3"/>
      <c r="E513" s="9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8"/>
      <c r="C514" s="3"/>
      <c r="D514" s="3"/>
      <c r="E514" s="9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8"/>
      <c r="C515" s="3"/>
      <c r="D515" s="3"/>
      <c r="E515" s="9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8"/>
      <c r="C516" s="3"/>
      <c r="D516" s="3"/>
      <c r="E516" s="9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8"/>
      <c r="C517" s="3"/>
      <c r="D517" s="3"/>
      <c r="E517" s="9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8"/>
      <c r="C518" s="3"/>
      <c r="D518" s="3"/>
      <c r="E518" s="9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8"/>
      <c r="C519" s="3"/>
      <c r="D519" s="3"/>
      <c r="E519" s="9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8"/>
      <c r="C520" s="3"/>
      <c r="D520" s="3"/>
      <c r="E520" s="9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8"/>
      <c r="C521" s="3"/>
      <c r="D521" s="3"/>
      <c r="E521" s="9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8"/>
      <c r="C522" s="3"/>
      <c r="D522" s="3"/>
      <c r="E522" s="9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8"/>
      <c r="C523" s="3"/>
      <c r="D523" s="3"/>
      <c r="E523" s="9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8"/>
      <c r="C524" s="3"/>
      <c r="D524" s="3"/>
      <c r="E524" s="9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8"/>
      <c r="C525" s="3"/>
      <c r="D525" s="3"/>
      <c r="E525" s="9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8"/>
      <c r="C526" s="3"/>
      <c r="D526" s="3"/>
      <c r="E526" s="9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8"/>
      <c r="C527" s="3"/>
      <c r="D527" s="3"/>
      <c r="E527" s="9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8"/>
      <c r="C528" s="3"/>
      <c r="D528" s="3"/>
      <c r="E528" s="9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8"/>
      <c r="C529" s="3"/>
      <c r="D529" s="3"/>
      <c r="E529" s="9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8"/>
      <c r="C530" s="3"/>
      <c r="D530" s="3"/>
      <c r="E530" s="9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8"/>
      <c r="C531" s="3"/>
      <c r="D531" s="3"/>
      <c r="E531" s="9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8"/>
      <c r="C532" s="3"/>
      <c r="D532" s="3"/>
      <c r="E532" s="9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8"/>
      <c r="C533" s="3"/>
      <c r="D533" s="3"/>
      <c r="E533" s="9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8"/>
      <c r="C534" s="3"/>
      <c r="D534" s="3"/>
      <c r="E534" s="9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8"/>
      <c r="C535" s="3"/>
      <c r="D535" s="3"/>
      <c r="E535" s="9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8"/>
      <c r="C536" s="3"/>
      <c r="D536" s="3"/>
      <c r="E536" s="9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8"/>
      <c r="C537" s="3"/>
      <c r="D537" s="3"/>
      <c r="E537" s="9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8"/>
      <c r="C538" s="3"/>
      <c r="D538" s="3"/>
      <c r="E538" s="9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8"/>
      <c r="C539" s="3"/>
      <c r="D539" s="3"/>
      <c r="E539" s="9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8"/>
      <c r="C540" s="3"/>
      <c r="D540" s="3"/>
      <c r="E540" s="9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8"/>
      <c r="C541" s="3"/>
      <c r="D541" s="3"/>
      <c r="E541" s="9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8"/>
      <c r="C542" s="3"/>
      <c r="D542" s="3"/>
      <c r="E542" s="9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8"/>
      <c r="C543" s="3"/>
      <c r="D543" s="3"/>
      <c r="E543" s="9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8"/>
      <c r="C544" s="3"/>
      <c r="D544" s="3"/>
      <c r="E544" s="9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8"/>
      <c r="C545" s="3"/>
      <c r="D545" s="3"/>
      <c r="E545" s="9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8"/>
      <c r="C546" s="3"/>
      <c r="D546" s="3"/>
      <c r="E546" s="9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8"/>
      <c r="C547" s="3"/>
      <c r="D547" s="3"/>
      <c r="E547" s="9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8"/>
      <c r="C548" s="3"/>
      <c r="D548" s="3"/>
      <c r="E548" s="9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8"/>
      <c r="C549" s="3"/>
      <c r="D549" s="3"/>
      <c r="E549" s="9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8"/>
      <c r="C550" s="3"/>
      <c r="D550" s="3"/>
      <c r="E550" s="9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8"/>
      <c r="C551" s="3"/>
      <c r="D551" s="3"/>
      <c r="E551" s="9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8"/>
      <c r="C552" s="3"/>
      <c r="D552" s="3"/>
      <c r="E552" s="9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8"/>
      <c r="C553" s="3"/>
      <c r="D553" s="3"/>
      <c r="E553" s="9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8"/>
      <c r="C554" s="3"/>
      <c r="D554" s="3"/>
      <c r="E554" s="9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8"/>
      <c r="C555" s="3"/>
      <c r="D555" s="3"/>
      <c r="E555" s="9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8"/>
      <c r="C556" s="3"/>
      <c r="D556" s="3"/>
      <c r="E556" s="9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8"/>
      <c r="C557" s="3"/>
      <c r="D557" s="3"/>
      <c r="E557" s="9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8"/>
      <c r="C558" s="3"/>
      <c r="D558" s="3"/>
      <c r="E558" s="9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8"/>
      <c r="C559" s="3"/>
      <c r="D559" s="3"/>
      <c r="E559" s="9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8"/>
      <c r="C560" s="3"/>
      <c r="D560" s="3"/>
      <c r="E560" s="9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8"/>
      <c r="C561" s="3"/>
      <c r="D561" s="3"/>
      <c r="E561" s="9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8"/>
      <c r="C562" s="3"/>
      <c r="D562" s="3"/>
      <c r="E562" s="9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8"/>
      <c r="C563" s="3"/>
      <c r="D563" s="3"/>
      <c r="E563" s="9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8"/>
      <c r="C564" s="3"/>
      <c r="D564" s="3"/>
      <c r="E564" s="9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8"/>
      <c r="C565" s="3"/>
      <c r="D565" s="3"/>
      <c r="E565" s="9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8"/>
      <c r="C566" s="3"/>
      <c r="D566" s="3"/>
      <c r="E566" s="9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8"/>
      <c r="C567" s="3"/>
      <c r="D567" s="3"/>
      <c r="E567" s="9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8"/>
      <c r="C568" s="3"/>
      <c r="D568" s="3"/>
      <c r="E568" s="9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8"/>
      <c r="C569" s="3"/>
      <c r="D569" s="3"/>
      <c r="E569" s="9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8"/>
      <c r="C570" s="3"/>
      <c r="D570" s="3"/>
      <c r="E570" s="9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8"/>
      <c r="C571" s="3"/>
      <c r="D571" s="3"/>
      <c r="E571" s="9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8"/>
      <c r="C572" s="3"/>
      <c r="D572" s="3"/>
      <c r="E572" s="9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8"/>
      <c r="C573" s="3"/>
      <c r="D573" s="3"/>
      <c r="E573" s="9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8"/>
      <c r="C574" s="3"/>
      <c r="D574" s="3"/>
      <c r="E574" s="9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8"/>
      <c r="C575" s="3"/>
      <c r="D575" s="3"/>
      <c r="E575" s="9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8"/>
      <c r="C576" s="3"/>
      <c r="D576" s="3"/>
      <c r="E576" s="9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8"/>
      <c r="C577" s="3"/>
      <c r="D577" s="3"/>
      <c r="E577" s="9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8"/>
      <c r="C578" s="3"/>
      <c r="D578" s="3"/>
      <c r="E578" s="9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8"/>
      <c r="C579" s="3"/>
      <c r="D579" s="3"/>
      <c r="E579" s="9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8"/>
      <c r="C580" s="3"/>
      <c r="D580" s="3"/>
      <c r="E580" s="9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8"/>
      <c r="C581" s="3"/>
      <c r="D581" s="3"/>
      <c r="E581" s="9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8"/>
      <c r="C582" s="3"/>
      <c r="D582" s="3"/>
      <c r="E582" s="9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8"/>
      <c r="C583" s="3"/>
      <c r="D583" s="3"/>
      <c r="E583" s="9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8"/>
      <c r="C584" s="3"/>
      <c r="D584" s="3"/>
      <c r="E584" s="9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8"/>
      <c r="C585" s="3"/>
      <c r="D585" s="3"/>
      <c r="E585" s="9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8"/>
      <c r="C586" s="3"/>
      <c r="D586" s="3"/>
      <c r="E586" s="9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8"/>
      <c r="C587" s="3"/>
      <c r="D587" s="3"/>
      <c r="E587" s="9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8"/>
      <c r="C588" s="3"/>
      <c r="D588" s="3"/>
      <c r="E588" s="9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8"/>
      <c r="C589" s="3"/>
      <c r="D589" s="3"/>
      <c r="E589" s="9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8"/>
      <c r="C590" s="3"/>
      <c r="D590" s="3"/>
      <c r="E590" s="9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8"/>
      <c r="C591" s="3"/>
      <c r="D591" s="3"/>
      <c r="E591" s="9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8"/>
      <c r="C592" s="3"/>
      <c r="D592" s="3"/>
      <c r="E592" s="9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8"/>
      <c r="C593" s="3"/>
      <c r="D593" s="3"/>
      <c r="E593" s="9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8"/>
      <c r="C594" s="3"/>
      <c r="D594" s="3"/>
      <c r="E594" s="9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8"/>
      <c r="C595" s="3"/>
      <c r="D595" s="3"/>
      <c r="E595" s="9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8"/>
      <c r="C596" s="3"/>
      <c r="D596" s="3"/>
      <c r="E596" s="9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8"/>
      <c r="C597" s="3"/>
      <c r="D597" s="3"/>
      <c r="E597" s="9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8"/>
      <c r="C598" s="3"/>
      <c r="D598" s="3"/>
      <c r="E598" s="9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8"/>
      <c r="C599" s="3"/>
      <c r="D599" s="3"/>
      <c r="E599" s="9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8"/>
      <c r="C600" s="3"/>
      <c r="D600" s="3"/>
      <c r="E600" s="9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8"/>
      <c r="C601" s="3"/>
      <c r="D601" s="3"/>
      <c r="E601" s="9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8"/>
      <c r="C602" s="3"/>
      <c r="D602" s="3"/>
      <c r="E602" s="9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8"/>
      <c r="C603" s="3"/>
      <c r="D603" s="3"/>
      <c r="E603" s="9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8"/>
      <c r="C604" s="3"/>
      <c r="D604" s="3"/>
      <c r="E604" s="9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8"/>
      <c r="C605" s="3"/>
      <c r="D605" s="3"/>
      <c r="E605" s="9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8"/>
      <c r="C606" s="3"/>
      <c r="D606" s="3"/>
      <c r="E606" s="9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8"/>
      <c r="C607" s="3"/>
      <c r="D607" s="3"/>
      <c r="E607" s="9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8"/>
      <c r="C608" s="3"/>
      <c r="D608" s="3"/>
      <c r="E608" s="9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8"/>
      <c r="C609" s="3"/>
      <c r="D609" s="3"/>
      <c r="E609" s="9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8"/>
      <c r="C610" s="3"/>
      <c r="D610" s="3"/>
      <c r="E610" s="9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8"/>
      <c r="C611" s="3"/>
      <c r="D611" s="3"/>
      <c r="E611" s="9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8"/>
      <c r="C612" s="3"/>
      <c r="D612" s="3"/>
      <c r="E612" s="9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8"/>
      <c r="C613" s="3"/>
      <c r="D613" s="3"/>
      <c r="E613" s="9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8"/>
      <c r="C614" s="3"/>
      <c r="D614" s="3"/>
      <c r="E614" s="9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8"/>
      <c r="C615" s="3"/>
      <c r="D615" s="3"/>
      <c r="E615" s="9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8"/>
      <c r="C616" s="3"/>
      <c r="D616" s="3"/>
      <c r="E616" s="9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8"/>
      <c r="C617" s="3"/>
      <c r="D617" s="3"/>
      <c r="E617" s="9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8"/>
      <c r="C618" s="3"/>
      <c r="D618" s="3"/>
      <c r="E618" s="9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8"/>
      <c r="C619" s="3"/>
      <c r="D619" s="3"/>
      <c r="E619" s="9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8"/>
      <c r="C620" s="3"/>
      <c r="D620" s="3"/>
      <c r="E620" s="9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8"/>
      <c r="C621" s="3"/>
      <c r="D621" s="3"/>
      <c r="E621" s="9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8"/>
      <c r="C622" s="3"/>
      <c r="D622" s="3"/>
      <c r="E622" s="9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8"/>
      <c r="C623" s="3"/>
      <c r="D623" s="3"/>
      <c r="E623" s="9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8"/>
      <c r="C624" s="3"/>
      <c r="D624" s="3"/>
      <c r="E624" s="9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8"/>
      <c r="C625" s="3"/>
      <c r="D625" s="3"/>
      <c r="E625" s="9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8"/>
      <c r="C626" s="3"/>
      <c r="D626" s="3"/>
      <c r="E626" s="9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8"/>
      <c r="C627" s="3"/>
      <c r="D627" s="3"/>
      <c r="E627" s="9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8"/>
      <c r="C628" s="3"/>
      <c r="D628" s="3"/>
      <c r="E628" s="9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8"/>
      <c r="C629" s="3"/>
      <c r="D629" s="3"/>
      <c r="E629" s="9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8"/>
      <c r="C630" s="3"/>
      <c r="D630" s="3"/>
      <c r="E630" s="9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8"/>
      <c r="C631" s="3"/>
      <c r="D631" s="3"/>
      <c r="E631" s="9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8"/>
      <c r="C632" s="3"/>
      <c r="D632" s="3"/>
      <c r="E632" s="9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8"/>
      <c r="C633" s="3"/>
      <c r="D633" s="3"/>
      <c r="E633" s="9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8"/>
      <c r="C634" s="3"/>
      <c r="D634" s="3"/>
      <c r="E634" s="9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8"/>
      <c r="C635" s="3"/>
      <c r="D635" s="3"/>
      <c r="E635" s="9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8"/>
      <c r="C636" s="3"/>
      <c r="D636" s="3"/>
      <c r="E636" s="9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8"/>
      <c r="C637" s="3"/>
      <c r="D637" s="3"/>
      <c r="E637" s="9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8"/>
      <c r="C638" s="3"/>
      <c r="D638" s="3"/>
      <c r="E638" s="9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8"/>
      <c r="C639" s="3"/>
      <c r="D639" s="3"/>
      <c r="E639" s="9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8"/>
      <c r="C640" s="3"/>
      <c r="D640" s="3"/>
      <c r="E640" s="9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8"/>
      <c r="C641" s="3"/>
      <c r="D641" s="3"/>
      <c r="E641" s="9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8"/>
      <c r="C642" s="3"/>
      <c r="D642" s="3"/>
      <c r="E642" s="9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8"/>
      <c r="C643" s="3"/>
      <c r="D643" s="3"/>
      <c r="E643" s="9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8"/>
      <c r="C644" s="3"/>
      <c r="D644" s="3"/>
      <c r="E644" s="9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8"/>
      <c r="C645" s="3"/>
      <c r="D645" s="3"/>
      <c r="E645" s="9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8"/>
      <c r="C646" s="3"/>
      <c r="D646" s="3"/>
      <c r="E646" s="9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8"/>
      <c r="C647" s="3"/>
      <c r="D647" s="3"/>
      <c r="E647" s="9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8"/>
      <c r="C648" s="3"/>
      <c r="D648" s="3"/>
      <c r="E648" s="9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8"/>
      <c r="C649" s="3"/>
      <c r="D649" s="3"/>
      <c r="E649" s="9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8"/>
      <c r="C650" s="3"/>
      <c r="D650" s="3"/>
      <c r="E650" s="9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8"/>
      <c r="C651" s="3"/>
      <c r="D651" s="3"/>
      <c r="E651" s="9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8"/>
      <c r="C652" s="3"/>
      <c r="D652" s="3"/>
      <c r="E652" s="9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8"/>
      <c r="C653" s="3"/>
      <c r="D653" s="3"/>
      <c r="E653" s="9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8"/>
      <c r="C654" s="3"/>
      <c r="D654" s="3"/>
      <c r="E654" s="9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8"/>
      <c r="C655" s="3"/>
      <c r="D655" s="3"/>
      <c r="E655" s="9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8"/>
      <c r="C656" s="3"/>
      <c r="D656" s="3"/>
      <c r="E656" s="9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8"/>
      <c r="C657" s="3"/>
      <c r="D657" s="3"/>
      <c r="E657" s="9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8"/>
      <c r="C658" s="3"/>
      <c r="D658" s="3"/>
      <c r="E658" s="9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8"/>
      <c r="C659" s="3"/>
      <c r="D659" s="3"/>
      <c r="E659" s="9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8"/>
      <c r="C660" s="3"/>
      <c r="D660" s="3"/>
      <c r="E660" s="9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8"/>
      <c r="C661" s="3"/>
      <c r="D661" s="3"/>
      <c r="E661" s="9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8"/>
      <c r="C662" s="3"/>
      <c r="D662" s="3"/>
      <c r="E662" s="9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8"/>
      <c r="C663" s="3"/>
      <c r="D663" s="3"/>
      <c r="E663" s="9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8"/>
      <c r="C664" s="3"/>
      <c r="D664" s="3"/>
      <c r="E664" s="9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8"/>
      <c r="C665" s="3"/>
      <c r="D665" s="3"/>
      <c r="E665" s="9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8"/>
      <c r="C666" s="3"/>
      <c r="D666" s="3"/>
      <c r="E666" s="9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8"/>
      <c r="C667" s="3"/>
      <c r="D667" s="3"/>
      <c r="E667" s="9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8"/>
      <c r="C668" s="3"/>
      <c r="D668" s="3"/>
      <c r="E668" s="9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8"/>
      <c r="C669" s="3"/>
      <c r="D669" s="3"/>
      <c r="E669" s="9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8"/>
      <c r="C670" s="3"/>
      <c r="D670" s="3"/>
      <c r="E670" s="9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8"/>
      <c r="C671" s="3"/>
      <c r="D671" s="3"/>
      <c r="E671" s="9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8"/>
      <c r="C672" s="3"/>
      <c r="D672" s="3"/>
      <c r="E672" s="9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8"/>
      <c r="C673" s="3"/>
      <c r="D673" s="3"/>
      <c r="E673" s="9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8"/>
      <c r="C674" s="3"/>
      <c r="D674" s="3"/>
      <c r="E674" s="9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8"/>
      <c r="C675" s="3"/>
      <c r="D675" s="3"/>
      <c r="E675" s="9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8"/>
      <c r="C676" s="3"/>
      <c r="D676" s="3"/>
      <c r="E676" s="9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8"/>
      <c r="C677" s="3"/>
      <c r="D677" s="3"/>
      <c r="E677" s="9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8"/>
      <c r="C678" s="3"/>
      <c r="D678" s="3"/>
      <c r="E678" s="9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8"/>
      <c r="C679" s="3"/>
      <c r="D679" s="3"/>
      <c r="E679" s="9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8"/>
      <c r="C680" s="3"/>
      <c r="D680" s="3"/>
      <c r="E680" s="9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8"/>
      <c r="C681" s="3"/>
      <c r="D681" s="3"/>
      <c r="E681" s="9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8"/>
      <c r="C682" s="3"/>
      <c r="D682" s="3"/>
      <c r="E682" s="9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8"/>
      <c r="C683" s="3"/>
      <c r="D683" s="3"/>
      <c r="E683" s="9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8"/>
      <c r="C684" s="3"/>
      <c r="D684" s="3"/>
      <c r="E684" s="9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8"/>
      <c r="C685" s="3"/>
      <c r="D685" s="3"/>
      <c r="E685" s="9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8"/>
      <c r="C686" s="3"/>
      <c r="D686" s="3"/>
      <c r="E686" s="9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8"/>
      <c r="C687" s="3"/>
      <c r="D687" s="3"/>
      <c r="E687" s="9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8"/>
      <c r="C688" s="3"/>
      <c r="D688" s="3"/>
      <c r="E688" s="9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8"/>
      <c r="C689" s="3"/>
      <c r="D689" s="3"/>
      <c r="E689" s="9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8"/>
      <c r="C690" s="3"/>
      <c r="D690" s="3"/>
      <c r="E690" s="9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8"/>
      <c r="C691" s="3"/>
      <c r="D691" s="3"/>
      <c r="E691" s="9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8"/>
      <c r="C692" s="3"/>
      <c r="D692" s="3"/>
      <c r="E692" s="9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8"/>
      <c r="C693" s="3"/>
      <c r="D693" s="3"/>
      <c r="E693" s="9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8"/>
      <c r="C694" s="3"/>
      <c r="D694" s="3"/>
      <c r="E694" s="9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8"/>
      <c r="C695" s="3"/>
      <c r="D695" s="3"/>
      <c r="E695" s="9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8"/>
      <c r="C696" s="3"/>
      <c r="D696" s="3"/>
      <c r="E696" s="9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8"/>
      <c r="C697" s="3"/>
      <c r="D697" s="3"/>
      <c r="E697" s="9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8"/>
      <c r="C698" s="3"/>
      <c r="D698" s="3"/>
      <c r="E698" s="9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8"/>
      <c r="C699" s="3"/>
      <c r="D699" s="3"/>
      <c r="E699" s="9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8"/>
      <c r="C700" s="3"/>
      <c r="D700" s="3"/>
      <c r="E700" s="9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8"/>
      <c r="C701" s="3"/>
      <c r="D701" s="3"/>
      <c r="E701" s="9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8"/>
      <c r="C702" s="3"/>
      <c r="D702" s="3"/>
      <c r="E702" s="9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8"/>
      <c r="C703" s="3"/>
      <c r="D703" s="3"/>
      <c r="E703" s="9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8"/>
      <c r="C704" s="3"/>
      <c r="D704" s="3"/>
      <c r="E704" s="9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8"/>
      <c r="C705" s="3"/>
      <c r="D705" s="3"/>
      <c r="E705" s="9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8"/>
      <c r="C706" s="3"/>
      <c r="D706" s="3"/>
      <c r="E706" s="9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8"/>
      <c r="C707" s="3"/>
      <c r="D707" s="3"/>
      <c r="E707" s="9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8"/>
      <c r="C708" s="3"/>
      <c r="D708" s="3"/>
      <c r="E708" s="9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8"/>
      <c r="C709" s="3"/>
      <c r="D709" s="3"/>
      <c r="E709" s="9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8"/>
      <c r="C710" s="3"/>
      <c r="D710" s="3"/>
      <c r="E710" s="9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8"/>
      <c r="C711" s="3"/>
      <c r="D711" s="3"/>
      <c r="E711" s="9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8"/>
      <c r="C712" s="3"/>
      <c r="D712" s="3"/>
      <c r="E712" s="9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8"/>
      <c r="C713" s="3"/>
      <c r="D713" s="3"/>
      <c r="E713" s="9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8"/>
      <c r="C714" s="3"/>
      <c r="D714" s="3"/>
      <c r="E714" s="9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8"/>
      <c r="C715" s="3"/>
      <c r="D715" s="3"/>
      <c r="E715" s="9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8"/>
      <c r="C716" s="3"/>
      <c r="D716" s="3"/>
      <c r="E716" s="9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8"/>
      <c r="C717" s="3"/>
      <c r="D717" s="3"/>
      <c r="E717" s="9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8"/>
      <c r="C718" s="3"/>
      <c r="D718" s="3"/>
      <c r="E718" s="9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8"/>
      <c r="C719" s="3"/>
      <c r="D719" s="3"/>
      <c r="E719" s="9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8"/>
      <c r="C720" s="3"/>
      <c r="D720" s="3"/>
      <c r="E720" s="9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8"/>
      <c r="C721" s="3"/>
      <c r="D721" s="3"/>
      <c r="E721" s="9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8"/>
      <c r="C722" s="3"/>
      <c r="D722" s="3"/>
      <c r="E722" s="9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8"/>
      <c r="C723" s="3"/>
      <c r="D723" s="3"/>
      <c r="E723" s="9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8"/>
      <c r="C724" s="3"/>
      <c r="D724" s="3"/>
      <c r="E724" s="9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8"/>
      <c r="C725" s="3"/>
      <c r="D725" s="3"/>
      <c r="E725" s="9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8"/>
      <c r="C726" s="3"/>
      <c r="D726" s="3"/>
      <c r="E726" s="9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8"/>
      <c r="C727" s="3"/>
      <c r="D727" s="3"/>
      <c r="E727" s="9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8"/>
      <c r="C728" s="3"/>
      <c r="D728" s="3"/>
      <c r="E728" s="9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8"/>
      <c r="C729" s="3"/>
      <c r="D729" s="3"/>
      <c r="E729" s="9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8"/>
      <c r="C730" s="3"/>
      <c r="D730" s="3"/>
      <c r="E730" s="9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8"/>
      <c r="C731" s="3"/>
      <c r="D731" s="3"/>
      <c r="E731" s="9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8"/>
      <c r="C732" s="3"/>
      <c r="D732" s="3"/>
      <c r="E732" s="9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8"/>
      <c r="C733" s="3"/>
      <c r="D733" s="3"/>
      <c r="E733" s="9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8"/>
      <c r="C734" s="3"/>
      <c r="D734" s="3"/>
      <c r="E734" s="9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8"/>
      <c r="C735" s="3"/>
      <c r="D735" s="3"/>
      <c r="E735" s="9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8"/>
      <c r="C736" s="3"/>
      <c r="D736" s="3"/>
      <c r="E736" s="9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8"/>
      <c r="C737" s="3"/>
      <c r="D737" s="3"/>
      <c r="E737" s="9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8"/>
      <c r="C738" s="3"/>
      <c r="D738" s="3"/>
      <c r="E738" s="9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8"/>
      <c r="C739" s="3"/>
      <c r="D739" s="3"/>
      <c r="E739" s="9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8"/>
      <c r="C740" s="3"/>
      <c r="D740" s="3"/>
      <c r="E740" s="9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8"/>
      <c r="C741" s="3"/>
      <c r="D741" s="3"/>
      <c r="E741" s="9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8"/>
      <c r="C742" s="3"/>
      <c r="D742" s="3"/>
      <c r="E742" s="9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8"/>
      <c r="C743" s="3"/>
      <c r="D743" s="3"/>
      <c r="E743" s="9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8"/>
      <c r="C744" s="3"/>
      <c r="D744" s="3"/>
      <c r="E744" s="9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8"/>
      <c r="C745" s="3"/>
      <c r="D745" s="3"/>
      <c r="E745" s="9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8"/>
      <c r="C746" s="3"/>
      <c r="D746" s="3"/>
      <c r="E746" s="9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8"/>
      <c r="C747" s="3"/>
      <c r="D747" s="3"/>
      <c r="E747" s="9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8"/>
      <c r="C748" s="3"/>
      <c r="D748" s="3"/>
      <c r="E748" s="9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8"/>
      <c r="C749" s="3"/>
      <c r="D749" s="3"/>
      <c r="E749" s="9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8"/>
      <c r="C750" s="3"/>
      <c r="D750" s="3"/>
      <c r="E750" s="9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8"/>
      <c r="C751" s="3"/>
      <c r="D751" s="3"/>
      <c r="E751" s="9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8"/>
      <c r="C752" s="3"/>
      <c r="D752" s="3"/>
      <c r="E752" s="9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8"/>
      <c r="C753" s="3"/>
      <c r="D753" s="3"/>
      <c r="E753" s="9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8"/>
      <c r="C754" s="3"/>
      <c r="D754" s="3"/>
      <c r="E754" s="9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8"/>
      <c r="C755" s="3"/>
      <c r="D755" s="3"/>
      <c r="E755" s="9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8"/>
      <c r="C756" s="3"/>
      <c r="D756" s="3"/>
      <c r="E756" s="9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8"/>
      <c r="C757" s="3"/>
      <c r="D757" s="3"/>
      <c r="E757" s="9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8"/>
      <c r="C758" s="3"/>
      <c r="D758" s="3"/>
      <c r="E758" s="9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8"/>
      <c r="C759" s="3"/>
      <c r="D759" s="3"/>
      <c r="E759" s="9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8"/>
      <c r="C760" s="3"/>
      <c r="D760" s="3"/>
      <c r="E760" s="9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8"/>
      <c r="C761" s="3"/>
      <c r="D761" s="3"/>
      <c r="E761" s="9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8"/>
      <c r="C762" s="3"/>
      <c r="D762" s="3"/>
      <c r="E762" s="9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8"/>
      <c r="C763" s="3"/>
      <c r="D763" s="3"/>
      <c r="E763" s="9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8"/>
      <c r="C764" s="3"/>
      <c r="D764" s="3"/>
      <c r="E764" s="9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8"/>
      <c r="C765" s="3"/>
      <c r="D765" s="3"/>
      <c r="E765" s="9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8"/>
      <c r="C766" s="3"/>
      <c r="D766" s="3"/>
      <c r="E766" s="9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8"/>
      <c r="C767" s="3"/>
      <c r="D767" s="3"/>
      <c r="E767" s="9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8"/>
      <c r="C768" s="3"/>
      <c r="D768" s="3"/>
      <c r="E768" s="9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8"/>
      <c r="C769" s="3"/>
      <c r="D769" s="3"/>
      <c r="E769" s="9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8"/>
      <c r="C770" s="3"/>
      <c r="D770" s="3"/>
      <c r="E770" s="9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8"/>
      <c r="C771" s="3"/>
      <c r="D771" s="3"/>
      <c r="E771" s="9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8"/>
      <c r="C772" s="3"/>
      <c r="D772" s="3"/>
      <c r="E772" s="9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8"/>
      <c r="C773" s="3"/>
      <c r="D773" s="3"/>
      <c r="E773" s="9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8"/>
      <c r="C774" s="3"/>
      <c r="D774" s="3"/>
      <c r="E774" s="9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8"/>
      <c r="C775" s="3"/>
      <c r="D775" s="3"/>
      <c r="E775" s="9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8"/>
      <c r="C776" s="3"/>
      <c r="D776" s="3"/>
      <c r="E776" s="9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8"/>
      <c r="C777" s="3"/>
      <c r="D777" s="3"/>
      <c r="E777" s="9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8"/>
      <c r="C778" s="3"/>
      <c r="D778" s="3"/>
      <c r="E778" s="9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8"/>
      <c r="C779" s="3"/>
      <c r="D779" s="3"/>
      <c r="E779" s="9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8"/>
      <c r="C780" s="3"/>
      <c r="D780" s="3"/>
      <c r="E780" s="9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8"/>
      <c r="C781" s="3"/>
      <c r="D781" s="3"/>
      <c r="E781" s="9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8"/>
      <c r="C782" s="3"/>
      <c r="D782" s="3"/>
      <c r="E782" s="9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8"/>
      <c r="C783" s="3"/>
      <c r="D783" s="3"/>
      <c r="E783" s="9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8"/>
      <c r="C784" s="3"/>
      <c r="D784" s="3"/>
      <c r="E784" s="9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8"/>
      <c r="C785" s="3"/>
      <c r="D785" s="3"/>
      <c r="E785" s="9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8"/>
      <c r="C786" s="3"/>
      <c r="D786" s="3"/>
      <c r="E786" s="9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8"/>
      <c r="C787" s="3"/>
      <c r="D787" s="3"/>
      <c r="E787" s="9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8"/>
      <c r="C788" s="3"/>
      <c r="D788" s="3"/>
      <c r="E788" s="9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8"/>
      <c r="C789" s="3"/>
      <c r="D789" s="3"/>
      <c r="E789" s="9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8"/>
      <c r="C790" s="3"/>
      <c r="D790" s="3"/>
      <c r="E790" s="9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8"/>
      <c r="C791" s="3"/>
      <c r="D791" s="3"/>
      <c r="E791" s="9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8"/>
      <c r="C792" s="3"/>
      <c r="D792" s="3"/>
      <c r="E792" s="9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8"/>
      <c r="C793" s="3"/>
      <c r="D793" s="3"/>
      <c r="E793" s="9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8"/>
      <c r="C794" s="3"/>
      <c r="D794" s="3"/>
      <c r="E794" s="9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8"/>
      <c r="C795" s="3"/>
      <c r="D795" s="3"/>
      <c r="E795" s="9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8"/>
      <c r="C796" s="3"/>
      <c r="D796" s="3"/>
      <c r="E796" s="9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8"/>
      <c r="C797" s="3"/>
      <c r="D797" s="3"/>
      <c r="E797" s="9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8"/>
      <c r="C798" s="3"/>
      <c r="D798" s="3"/>
      <c r="E798" s="9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8"/>
      <c r="C799" s="3"/>
      <c r="D799" s="3"/>
      <c r="E799" s="9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8"/>
      <c r="C800" s="3"/>
      <c r="D800" s="3"/>
      <c r="E800" s="9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8"/>
      <c r="C801" s="3"/>
      <c r="D801" s="3"/>
      <c r="E801" s="9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8"/>
      <c r="C802" s="3"/>
      <c r="D802" s="3"/>
      <c r="E802" s="9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8"/>
      <c r="C803" s="3"/>
      <c r="D803" s="3"/>
      <c r="E803" s="9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8"/>
      <c r="C804" s="3"/>
      <c r="D804" s="3"/>
      <c r="E804" s="9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8"/>
      <c r="C805" s="3"/>
      <c r="D805" s="3"/>
      <c r="E805" s="9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8"/>
      <c r="C806" s="3"/>
      <c r="D806" s="3"/>
      <c r="E806" s="9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8"/>
      <c r="C807" s="3"/>
      <c r="D807" s="3"/>
      <c r="E807" s="9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8"/>
      <c r="C808" s="3"/>
      <c r="D808" s="3"/>
      <c r="E808" s="9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8"/>
      <c r="C809" s="3"/>
      <c r="D809" s="3"/>
      <c r="E809" s="9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8"/>
      <c r="C810" s="3"/>
      <c r="D810" s="3"/>
      <c r="E810" s="9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8"/>
      <c r="C811" s="3"/>
      <c r="D811" s="3"/>
      <c r="E811" s="9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8"/>
      <c r="C812" s="3"/>
      <c r="D812" s="3"/>
      <c r="E812" s="9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8"/>
      <c r="C813" s="3"/>
      <c r="D813" s="3"/>
      <c r="E813" s="9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8"/>
      <c r="C814" s="3"/>
      <c r="D814" s="3"/>
      <c r="E814" s="9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8"/>
      <c r="C815" s="3"/>
      <c r="D815" s="3"/>
      <c r="E815" s="9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8"/>
      <c r="C816" s="3"/>
      <c r="D816" s="3"/>
      <c r="E816" s="9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8"/>
      <c r="C817" s="3"/>
      <c r="D817" s="3"/>
      <c r="E817" s="9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8"/>
      <c r="C818" s="3"/>
      <c r="D818" s="3"/>
      <c r="E818" s="9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8"/>
      <c r="C819" s="3"/>
      <c r="D819" s="3"/>
      <c r="E819" s="9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8"/>
      <c r="C820" s="3"/>
      <c r="D820" s="3"/>
      <c r="E820" s="9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8"/>
      <c r="C821" s="3"/>
      <c r="D821" s="3"/>
      <c r="E821" s="9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8"/>
      <c r="C822" s="3"/>
      <c r="D822" s="3"/>
      <c r="E822" s="9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8"/>
      <c r="C823" s="3"/>
      <c r="D823" s="3"/>
      <c r="E823" s="9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8"/>
      <c r="C824" s="3"/>
      <c r="D824" s="3"/>
      <c r="E824" s="9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8"/>
      <c r="C825" s="3"/>
      <c r="D825" s="3"/>
      <c r="E825" s="9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8"/>
      <c r="C826" s="3"/>
      <c r="D826" s="3"/>
      <c r="E826" s="9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8"/>
      <c r="C827" s="3"/>
      <c r="D827" s="3"/>
      <c r="E827" s="9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8"/>
      <c r="C828" s="3"/>
      <c r="D828" s="3"/>
      <c r="E828" s="9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8"/>
      <c r="C829" s="3"/>
      <c r="D829" s="3"/>
      <c r="E829" s="9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8"/>
      <c r="C830" s="3"/>
      <c r="D830" s="3"/>
      <c r="E830" s="9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8"/>
      <c r="C831" s="3"/>
      <c r="D831" s="3"/>
      <c r="E831" s="9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8"/>
      <c r="C832" s="3"/>
      <c r="D832" s="3"/>
      <c r="E832" s="9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8"/>
      <c r="C833" s="3"/>
      <c r="D833" s="3"/>
      <c r="E833" s="9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8"/>
      <c r="C834" s="3"/>
      <c r="D834" s="3"/>
      <c r="E834" s="9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8"/>
      <c r="C835" s="3"/>
      <c r="D835" s="3"/>
      <c r="E835" s="9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8"/>
      <c r="C836" s="3"/>
      <c r="D836" s="3"/>
      <c r="E836" s="9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8"/>
      <c r="C837" s="3"/>
      <c r="D837" s="3"/>
      <c r="E837" s="9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8"/>
      <c r="C838" s="3"/>
      <c r="D838" s="3"/>
      <c r="E838" s="9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8"/>
      <c r="C839" s="3"/>
      <c r="D839" s="3"/>
      <c r="E839" s="9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8"/>
      <c r="C840" s="3"/>
      <c r="D840" s="3"/>
      <c r="E840" s="9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8"/>
      <c r="C841" s="3"/>
      <c r="D841" s="3"/>
      <c r="E841" s="9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8"/>
      <c r="C842" s="3"/>
      <c r="D842" s="3"/>
      <c r="E842" s="9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8"/>
      <c r="C843" s="3"/>
      <c r="D843" s="3"/>
      <c r="E843" s="9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8"/>
      <c r="C844" s="3"/>
      <c r="D844" s="3"/>
      <c r="E844" s="9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8"/>
      <c r="C845" s="3"/>
      <c r="D845" s="3"/>
      <c r="E845" s="9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8"/>
      <c r="C846" s="3"/>
      <c r="D846" s="3"/>
      <c r="E846" s="9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8"/>
      <c r="C847" s="3"/>
      <c r="D847" s="3"/>
      <c r="E847" s="9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8"/>
      <c r="C848" s="3"/>
      <c r="D848" s="3"/>
      <c r="E848" s="9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8"/>
      <c r="C849" s="3"/>
      <c r="D849" s="3"/>
      <c r="E849" s="9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8"/>
      <c r="C850" s="3"/>
      <c r="D850" s="3"/>
      <c r="E850" s="9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8"/>
      <c r="C851" s="3"/>
      <c r="D851" s="3"/>
      <c r="E851" s="9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8"/>
      <c r="C852" s="3"/>
      <c r="D852" s="3"/>
      <c r="E852" s="9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8"/>
      <c r="C853" s="3"/>
      <c r="D853" s="3"/>
      <c r="E853" s="9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8"/>
      <c r="C854" s="3"/>
      <c r="D854" s="3"/>
      <c r="E854" s="9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8"/>
      <c r="C855" s="3"/>
      <c r="D855" s="3"/>
      <c r="E855" s="9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8"/>
      <c r="C856" s="3"/>
      <c r="D856" s="3"/>
      <c r="E856" s="9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8"/>
      <c r="C857" s="3"/>
      <c r="D857" s="3"/>
      <c r="E857" s="9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8"/>
      <c r="C858" s="3"/>
      <c r="D858" s="3"/>
      <c r="E858" s="9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8"/>
      <c r="C859" s="3"/>
      <c r="D859" s="3"/>
      <c r="E859" s="9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8"/>
      <c r="C860" s="3"/>
      <c r="D860" s="3"/>
      <c r="E860" s="9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8"/>
      <c r="C861" s="3"/>
      <c r="D861" s="3"/>
      <c r="E861" s="9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8"/>
      <c r="C862" s="3"/>
      <c r="D862" s="3"/>
      <c r="E862" s="9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8"/>
      <c r="C863" s="3"/>
      <c r="D863" s="3"/>
      <c r="E863" s="9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8"/>
      <c r="C864" s="3"/>
      <c r="D864" s="3"/>
      <c r="E864" s="9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8"/>
      <c r="C865" s="3"/>
      <c r="D865" s="3"/>
      <c r="E865" s="9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8"/>
      <c r="C866" s="3"/>
      <c r="D866" s="3"/>
      <c r="E866" s="9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8"/>
      <c r="C867" s="3"/>
      <c r="D867" s="3"/>
      <c r="E867" s="9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8"/>
      <c r="C868" s="3"/>
      <c r="D868" s="3"/>
      <c r="E868" s="9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8"/>
      <c r="C869" s="3"/>
      <c r="D869" s="3"/>
      <c r="E869" s="9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8"/>
      <c r="C870" s="3"/>
      <c r="D870" s="3"/>
      <c r="E870" s="9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8"/>
      <c r="C871" s="3"/>
      <c r="D871" s="3"/>
      <c r="E871" s="9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8"/>
      <c r="C872" s="3"/>
      <c r="D872" s="3"/>
      <c r="E872" s="9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8"/>
      <c r="C873" s="3"/>
      <c r="D873" s="3"/>
      <c r="E873" s="9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8"/>
      <c r="C874" s="3"/>
      <c r="D874" s="3"/>
      <c r="E874" s="9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8"/>
      <c r="C875" s="3"/>
      <c r="D875" s="3"/>
      <c r="E875" s="9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8"/>
      <c r="C876" s="3"/>
      <c r="D876" s="3"/>
      <c r="E876" s="9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8"/>
      <c r="C877" s="3"/>
      <c r="D877" s="3"/>
      <c r="E877" s="9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8"/>
      <c r="C878" s="3"/>
      <c r="D878" s="3"/>
      <c r="E878" s="9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8"/>
      <c r="C879" s="3"/>
      <c r="D879" s="3"/>
      <c r="E879" s="9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8"/>
      <c r="C880" s="3"/>
      <c r="D880" s="3"/>
      <c r="E880" s="9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8"/>
      <c r="C881" s="3"/>
      <c r="D881" s="3"/>
      <c r="E881" s="9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8"/>
      <c r="C882" s="3"/>
      <c r="D882" s="3"/>
      <c r="E882" s="9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8"/>
      <c r="C883" s="3"/>
      <c r="D883" s="3"/>
      <c r="E883" s="9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8"/>
      <c r="C884" s="3"/>
      <c r="D884" s="3"/>
      <c r="E884" s="9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8"/>
      <c r="C885" s="3"/>
      <c r="D885" s="3"/>
      <c r="E885" s="9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8"/>
      <c r="C886" s="3"/>
      <c r="D886" s="3"/>
      <c r="E886" s="9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8"/>
      <c r="C887" s="3"/>
      <c r="D887" s="3"/>
      <c r="E887" s="9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8"/>
      <c r="C888" s="3"/>
      <c r="D888" s="3"/>
      <c r="E888" s="9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8"/>
      <c r="C889" s="3"/>
      <c r="D889" s="3"/>
      <c r="E889" s="9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8"/>
      <c r="C890" s="3"/>
      <c r="D890" s="3"/>
      <c r="E890" s="9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8"/>
      <c r="C891" s="3"/>
      <c r="D891" s="3"/>
      <c r="E891" s="9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8"/>
      <c r="C892" s="3"/>
      <c r="D892" s="3"/>
      <c r="E892" s="9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8"/>
      <c r="C893" s="3"/>
      <c r="D893" s="3"/>
      <c r="E893" s="9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8"/>
      <c r="C894" s="3"/>
      <c r="D894" s="3"/>
      <c r="E894" s="9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8"/>
      <c r="C895" s="3"/>
      <c r="D895" s="3"/>
      <c r="E895" s="9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8"/>
      <c r="C896" s="3"/>
      <c r="D896" s="3"/>
      <c r="E896" s="9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8"/>
      <c r="C897" s="3"/>
      <c r="D897" s="3"/>
      <c r="E897" s="9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8"/>
      <c r="C898" s="3"/>
      <c r="D898" s="3"/>
      <c r="E898" s="9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8"/>
      <c r="C899" s="3"/>
      <c r="D899" s="3"/>
      <c r="E899" s="9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8"/>
      <c r="C900" s="3"/>
      <c r="D900" s="3"/>
      <c r="E900" s="9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8"/>
      <c r="C901" s="3"/>
      <c r="D901" s="3"/>
      <c r="E901" s="9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8"/>
      <c r="C902" s="3"/>
      <c r="D902" s="3"/>
      <c r="E902" s="9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8"/>
      <c r="C903" s="3"/>
      <c r="D903" s="3"/>
      <c r="E903" s="9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8"/>
      <c r="C904" s="3"/>
      <c r="D904" s="3"/>
      <c r="E904" s="9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8"/>
      <c r="C905" s="3"/>
      <c r="D905" s="3"/>
      <c r="E905" s="9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8"/>
      <c r="C906" s="3"/>
      <c r="D906" s="3"/>
      <c r="E906" s="9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8"/>
      <c r="C907" s="3"/>
      <c r="D907" s="3"/>
      <c r="E907" s="9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8"/>
      <c r="C908" s="3"/>
      <c r="D908" s="3"/>
      <c r="E908" s="9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8"/>
      <c r="C909" s="3"/>
      <c r="D909" s="3"/>
      <c r="E909" s="9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8"/>
      <c r="C910" s="3"/>
      <c r="D910" s="3"/>
      <c r="E910" s="9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8"/>
      <c r="C911" s="3"/>
      <c r="D911" s="3"/>
      <c r="E911" s="9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8"/>
      <c r="C912" s="3"/>
      <c r="D912" s="3"/>
      <c r="E912" s="9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8"/>
      <c r="C913" s="3"/>
      <c r="D913" s="3"/>
      <c r="E913" s="9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8"/>
      <c r="C914" s="3"/>
      <c r="D914" s="3"/>
      <c r="E914" s="9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8"/>
      <c r="C915" s="3"/>
      <c r="D915" s="3"/>
      <c r="E915" s="9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8"/>
      <c r="C916" s="3"/>
      <c r="D916" s="3"/>
      <c r="E916" s="9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8"/>
      <c r="C917" s="3"/>
      <c r="D917" s="3"/>
      <c r="E917" s="9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8"/>
      <c r="C918" s="3"/>
      <c r="D918" s="3"/>
      <c r="E918" s="9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8"/>
      <c r="C919" s="3"/>
      <c r="D919" s="3"/>
      <c r="E919" s="9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8"/>
      <c r="C920" s="3"/>
      <c r="D920" s="3"/>
      <c r="E920" s="9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8"/>
      <c r="C921" s="3"/>
      <c r="D921" s="3"/>
      <c r="E921" s="9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8"/>
      <c r="C922" s="3"/>
      <c r="D922" s="3"/>
      <c r="E922" s="9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8"/>
      <c r="C923" s="3"/>
      <c r="D923" s="3"/>
      <c r="E923" s="9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8"/>
      <c r="C924" s="3"/>
      <c r="D924" s="3"/>
      <c r="E924" s="9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8"/>
      <c r="C925" s="3"/>
      <c r="D925" s="3"/>
      <c r="E925" s="9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8"/>
      <c r="C926" s="3"/>
      <c r="D926" s="3"/>
      <c r="E926" s="9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8"/>
      <c r="C927" s="3"/>
      <c r="D927" s="3"/>
      <c r="E927" s="9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8"/>
      <c r="C928" s="3"/>
      <c r="D928" s="3"/>
      <c r="E928" s="9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8"/>
      <c r="C929" s="3"/>
      <c r="D929" s="3"/>
      <c r="E929" s="9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8"/>
      <c r="C930" s="3"/>
      <c r="D930" s="3"/>
      <c r="E930" s="9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8"/>
      <c r="C931" s="3"/>
      <c r="D931" s="3"/>
      <c r="E931" s="9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8"/>
      <c r="C932" s="3"/>
      <c r="D932" s="3"/>
      <c r="E932" s="9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8"/>
      <c r="C933" s="3"/>
      <c r="D933" s="3"/>
      <c r="E933" s="9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8"/>
      <c r="C934" s="3"/>
      <c r="D934" s="3"/>
      <c r="E934" s="9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8"/>
      <c r="C935" s="3"/>
      <c r="D935" s="3"/>
      <c r="E935" s="9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8"/>
      <c r="C936" s="3"/>
      <c r="D936" s="3"/>
      <c r="E936" s="9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8"/>
      <c r="C937" s="3"/>
      <c r="D937" s="3"/>
      <c r="E937" s="9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8"/>
      <c r="C938" s="3"/>
      <c r="D938" s="3"/>
      <c r="E938" s="9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8"/>
      <c r="C939" s="3"/>
      <c r="D939" s="3"/>
      <c r="E939" s="9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8"/>
      <c r="C940" s="3"/>
      <c r="D940" s="3"/>
      <c r="E940" s="9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8"/>
      <c r="C941" s="3"/>
      <c r="D941" s="3"/>
      <c r="E941" s="9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8"/>
      <c r="C942" s="3"/>
      <c r="D942" s="3"/>
      <c r="E942" s="9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8"/>
      <c r="C943" s="3"/>
      <c r="D943" s="3"/>
      <c r="E943" s="9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8"/>
      <c r="C944" s="3"/>
      <c r="D944" s="3"/>
      <c r="E944" s="9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8"/>
      <c r="C945" s="3"/>
      <c r="D945" s="3"/>
      <c r="E945" s="9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8"/>
      <c r="C946" s="3"/>
      <c r="D946" s="3"/>
      <c r="E946" s="9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8"/>
      <c r="C947" s="3"/>
      <c r="D947" s="3"/>
      <c r="E947" s="9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8"/>
      <c r="C948" s="3"/>
      <c r="D948" s="3"/>
      <c r="E948" s="9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8"/>
      <c r="C949" s="3"/>
      <c r="D949" s="3"/>
      <c r="E949" s="9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8"/>
      <c r="C950" s="3"/>
      <c r="D950" s="3"/>
      <c r="E950" s="9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8"/>
      <c r="C951" s="3"/>
      <c r="D951" s="3"/>
      <c r="E951" s="9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8"/>
      <c r="C952" s="3"/>
      <c r="D952" s="3"/>
      <c r="E952" s="9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8"/>
      <c r="C953" s="3"/>
      <c r="D953" s="3"/>
      <c r="E953" s="9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8"/>
      <c r="C954" s="3"/>
      <c r="D954" s="3"/>
      <c r="E954" s="9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8"/>
      <c r="C955" s="3"/>
      <c r="D955" s="3"/>
      <c r="E955" s="9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8"/>
      <c r="C956" s="3"/>
      <c r="D956" s="3"/>
      <c r="E956" s="9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8"/>
      <c r="C957" s="3"/>
      <c r="D957" s="3"/>
      <c r="E957" s="9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8"/>
      <c r="C958" s="3"/>
      <c r="D958" s="3"/>
      <c r="E958" s="9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8"/>
      <c r="C959" s="3"/>
      <c r="D959" s="3"/>
      <c r="E959" s="9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8"/>
      <c r="C960" s="3"/>
      <c r="D960" s="3"/>
      <c r="E960" s="9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8"/>
      <c r="C961" s="3"/>
      <c r="D961" s="3"/>
      <c r="E961" s="9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8"/>
      <c r="C962" s="3"/>
      <c r="D962" s="3"/>
      <c r="E962" s="9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8"/>
      <c r="C963" s="3"/>
      <c r="D963" s="3"/>
      <c r="E963" s="9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8"/>
      <c r="C964" s="3"/>
      <c r="D964" s="3"/>
      <c r="E964" s="9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8"/>
      <c r="C965" s="3"/>
      <c r="D965" s="3"/>
      <c r="E965" s="9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8"/>
      <c r="C966" s="3"/>
      <c r="D966" s="3"/>
      <c r="E966" s="9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8"/>
      <c r="C967" s="3"/>
      <c r="D967" s="3"/>
      <c r="E967" s="9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8"/>
      <c r="C968" s="3"/>
      <c r="D968" s="3"/>
      <c r="E968" s="9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8"/>
      <c r="C969" s="3"/>
      <c r="D969" s="3"/>
      <c r="E969" s="9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8"/>
      <c r="C970" s="3"/>
      <c r="D970" s="3"/>
      <c r="E970" s="9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8"/>
      <c r="C971" s="3"/>
      <c r="D971" s="3"/>
      <c r="E971" s="9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8"/>
      <c r="C972" s="3"/>
      <c r="D972" s="3"/>
      <c r="E972" s="9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8"/>
      <c r="C973" s="3"/>
      <c r="D973" s="3"/>
      <c r="E973" s="9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8"/>
      <c r="C974" s="3"/>
      <c r="D974" s="3"/>
      <c r="E974" s="9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8"/>
      <c r="C975" s="3"/>
      <c r="D975" s="3"/>
      <c r="E975" s="9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8"/>
      <c r="C976" s="3"/>
      <c r="D976" s="3"/>
      <c r="E976" s="9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8"/>
      <c r="C977" s="3"/>
      <c r="D977" s="3"/>
      <c r="E977" s="9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8"/>
      <c r="C978" s="3"/>
      <c r="D978" s="3"/>
      <c r="E978" s="9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8"/>
      <c r="C979" s="3"/>
      <c r="D979" s="3"/>
      <c r="E979" s="9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8"/>
      <c r="C980" s="3"/>
      <c r="D980" s="3"/>
      <c r="E980" s="9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8"/>
      <c r="C981" s="3"/>
      <c r="D981" s="3"/>
      <c r="E981" s="9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8"/>
      <c r="C982" s="3"/>
      <c r="D982" s="3"/>
      <c r="E982" s="9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8"/>
      <c r="C983" s="3"/>
      <c r="D983" s="3"/>
      <c r="E983" s="9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8"/>
      <c r="C984" s="3"/>
      <c r="D984" s="3"/>
      <c r="E984" s="9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8"/>
      <c r="C985" s="3"/>
      <c r="D985" s="3"/>
      <c r="E985" s="9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8"/>
      <c r="C986" s="3"/>
      <c r="D986" s="3"/>
      <c r="E986" s="9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8"/>
      <c r="C987" s="3"/>
      <c r="D987" s="3"/>
      <c r="E987" s="9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8"/>
      <c r="C988" s="3"/>
      <c r="D988" s="3"/>
      <c r="E988" s="9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8"/>
      <c r="C989" s="3"/>
      <c r="D989" s="3"/>
      <c r="E989" s="9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8"/>
      <c r="C990" s="3"/>
      <c r="D990" s="3"/>
      <c r="E990" s="9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8"/>
      <c r="C991" s="3"/>
      <c r="D991" s="3"/>
      <c r="E991" s="9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8"/>
      <c r="C992" s="3"/>
      <c r="D992" s="3"/>
      <c r="E992" s="9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8"/>
      <c r="C993" s="3"/>
      <c r="D993" s="3"/>
      <c r="E993" s="9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8"/>
      <c r="C994" s="3"/>
      <c r="D994" s="3"/>
      <c r="E994" s="9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8"/>
      <c r="C995" s="3"/>
      <c r="D995" s="3"/>
      <c r="E995" s="9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8"/>
      <c r="C996" s="3"/>
      <c r="D996" s="3"/>
      <c r="E996" s="9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8"/>
      <c r="C997" s="3"/>
      <c r="D997" s="3"/>
      <c r="E997" s="9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8"/>
      <c r="C998" s="3"/>
      <c r="D998" s="3"/>
      <c r="E998" s="9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8"/>
      <c r="C999" s="3"/>
      <c r="D999" s="3"/>
      <c r="E999" s="9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8"/>
      <c r="C1000" s="3"/>
      <c r="D1000" s="3"/>
      <c r="E1000" s="9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B2:B1000">
    <cfRule type="cellIs" dxfId="0" priority="1" operator="greaterThanOrEqual">
      <formula>3000</formula>
    </cfRule>
  </conditionalFormatting>
  <conditionalFormatting sqref="B2:B1000">
    <cfRule type="cellIs" dxfId="1" priority="2" operator="greaterThanOrEqual">
      <formula>2600</formula>
    </cfRule>
  </conditionalFormatting>
  <conditionalFormatting sqref="B2:B1000">
    <cfRule type="cellIs" dxfId="2" priority="3" operator="greaterThanOrEqual">
      <formula>2400</formula>
    </cfRule>
  </conditionalFormatting>
  <conditionalFormatting sqref="B2:B1000">
    <cfRule type="cellIs" dxfId="3" priority="4" operator="greaterThanOrEqual">
      <formula>2300</formula>
    </cfRule>
  </conditionalFormatting>
  <conditionalFormatting sqref="B2:B1000">
    <cfRule type="cellIs" dxfId="4" priority="5" operator="greaterThanOrEqual">
      <formula>2100</formula>
    </cfRule>
  </conditionalFormatting>
  <conditionalFormatting sqref="B2:B1000">
    <cfRule type="cellIs" dxfId="5" priority="6" operator="greaterThanOrEqual">
      <formula>1900</formula>
    </cfRule>
  </conditionalFormatting>
  <conditionalFormatting sqref="B2:B1000">
    <cfRule type="cellIs" dxfId="6" priority="7" operator="greaterThanOrEqual">
      <formula>1600</formula>
    </cfRule>
  </conditionalFormatting>
  <conditionalFormatting sqref="B2:B1000">
    <cfRule type="cellIs" dxfId="7" priority="8" operator="greaterThanOrEqual">
      <formula>1400</formula>
    </cfRule>
  </conditionalFormatting>
  <conditionalFormatting sqref="B2:B1000">
    <cfRule type="cellIs" dxfId="8" priority="9" operator="greaterThanOrEqual">
      <formula>1200</formula>
    </cfRule>
  </conditionalFormatting>
  <conditionalFormatting sqref="B2:B1000">
    <cfRule type="notContainsBlanks" dxfId="9" priority="10">
      <formula>LEN(TRIM(B2))&gt;0</formula>
    </cfRule>
  </conditionalFormatting>
  <conditionalFormatting sqref="C1:C1000 G1:J5 L1 L5:L13 L15 J52:J1000">
    <cfRule type="cellIs" dxfId="10" priority="11" operator="equal">
      <formula>"Solved"</formula>
    </cfRule>
  </conditionalFormatting>
  <conditionalFormatting sqref="C1:C1000 G1:J5 L1 L5:L13 L15 J52:J1000">
    <cfRule type="cellIs" dxfId="11" priority="12" operator="equal">
      <formula>"Failed"</formula>
    </cfRule>
  </conditionalFormatting>
  <conditionalFormatting sqref="C1:C1000 G1:J5 L1 L5:L13 L15 J52:J1000">
    <cfRule type="cellIs" dxfId="12" priority="13" operator="equal">
      <formula>"Mindsolved"</formula>
    </cfRule>
  </conditionalFormatting>
  <conditionalFormatting sqref="C1:C1000 G1:J5 L1 L5:L13 L15 J52:J1000">
    <cfRule type="cellIs" dxfId="13" priority="14" operator="equal">
      <formula>"Active"</formula>
    </cfRule>
  </conditionalFormatting>
  <hyperlinks>
    <hyperlink r:id="rId1" ref="A2"/>
    <hyperlink r:id="rId2" ref="A3"/>
    <hyperlink r:id="rId3" ref="D3"/>
    <hyperlink r:id="rId4" ref="A4"/>
    <hyperlink r:id="rId5" ref="D4"/>
    <hyperlink r:id="rId6" ref="A5"/>
    <hyperlink r:id="rId7" ref="D5"/>
    <hyperlink r:id="rId8" ref="A6"/>
    <hyperlink r:id="rId9" ref="D6"/>
    <hyperlink r:id="rId10" ref="A7"/>
    <hyperlink r:id="rId11" ref="D7"/>
    <hyperlink r:id="rId12" ref="A8"/>
    <hyperlink r:id="rId13" ref="A9"/>
    <hyperlink r:id="rId14" ref="D9"/>
    <hyperlink r:id="rId15" ref="A10"/>
    <hyperlink r:id="rId16" ref="A11"/>
    <hyperlink r:id="rId17" ref="D11"/>
    <hyperlink r:id="rId18" ref="A12"/>
    <hyperlink r:id="rId19" ref="D12"/>
    <hyperlink r:id="rId20" ref="A13"/>
    <hyperlink r:id="rId21" ref="D13"/>
    <hyperlink r:id="rId22" ref="A14"/>
    <hyperlink r:id="rId23" ref="A15"/>
    <hyperlink r:id="rId24" ref="A16"/>
    <hyperlink r:id="rId25" ref="D16"/>
    <hyperlink r:id="rId26" ref="A17"/>
    <hyperlink r:id="rId27" ref="D17"/>
    <hyperlink r:id="rId28" ref="A18"/>
    <hyperlink r:id="rId29" ref="D18"/>
    <hyperlink r:id="rId30" ref="A19"/>
    <hyperlink r:id="rId31" ref="D19"/>
    <hyperlink r:id="rId32" ref="A20"/>
    <hyperlink r:id="rId33" ref="D20"/>
    <hyperlink r:id="rId34" ref="A21"/>
    <hyperlink r:id="rId35" ref="A22"/>
    <hyperlink r:id="rId36" ref="D22"/>
    <hyperlink r:id="rId37" ref="A23"/>
    <hyperlink r:id="rId38" ref="D23"/>
    <hyperlink r:id="rId39" ref="A24"/>
    <hyperlink r:id="rId40" ref="D24"/>
    <hyperlink r:id="rId41" ref="A25"/>
    <hyperlink r:id="rId42" ref="D25"/>
    <hyperlink r:id="rId43" ref="A26"/>
    <hyperlink r:id="rId44" ref="D26"/>
    <hyperlink r:id="rId45" ref="L26"/>
    <hyperlink r:id="rId46" ref="A27"/>
    <hyperlink r:id="rId47" ref="D27"/>
    <hyperlink r:id="rId48" ref="L27"/>
    <hyperlink r:id="rId49" ref="A28"/>
    <hyperlink r:id="rId50" ref="D28"/>
    <hyperlink r:id="rId51" ref="L28"/>
    <hyperlink r:id="rId52" ref="A29"/>
    <hyperlink r:id="rId53" ref="D29"/>
    <hyperlink r:id="rId54" ref="A30"/>
    <hyperlink r:id="rId55" ref="D30"/>
    <hyperlink r:id="rId56" ref="A31"/>
    <hyperlink r:id="rId57" ref="D31"/>
    <hyperlink r:id="rId58" ref="A32"/>
    <hyperlink r:id="rId59" ref="D32"/>
    <hyperlink r:id="rId60" ref="A33"/>
    <hyperlink r:id="rId61" ref="D33"/>
    <hyperlink r:id="rId62" ref="A34"/>
    <hyperlink r:id="rId63" ref="D34"/>
    <hyperlink r:id="rId64" ref="A35"/>
    <hyperlink r:id="rId65" ref="D35"/>
    <hyperlink r:id="rId66" ref="A36"/>
    <hyperlink r:id="rId67" ref="D36"/>
    <hyperlink r:id="rId68" ref="A37"/>
    <hyperlink r:id="rId69" ref="D37"/>
    <hyperlink r:id="rId70" ref="A38"/>
    <hyperlink r:id="rId71" ref="D38"/>
    <hyperlink r:id="rId72" ref="A39"/>
    <hyperlink r:id="rId73" ref="D39"/>
    <hyperlink r:id="rId74" ref="A40"/>
    <hyperlink r:id="rId75" ref="D40"/>
    <hyperlink r:id="rId76" ref="A41"/>
    <hyperlink r:id="rId77" ref="D41"/>
    <hyperlink r:id="rId78" ref="A42"/>
    <hyperlink r:id="rId79" ref="D42"/>
    <hyperlink r:id="rId80" ref="A43"/>
    <hyperlink r:id="rId81" ref="D43"/>
    <hyperlink r:id="rId82" ref="A44"/>
    <hyperlink r:id="rId83" ref="D44"/>
    <hyperlink r:id="rId84" ref="A45"/>
    <hyperlink r:id="rId85" ref="D45"/>
    <hyperlink r:id="rId86" ref="A46"/>
    <hyperlink r:id="rId87" ref="D46"/>
    <hyperlink r:id="rId88" ref="A47"/>
    <hyperlink r:id="rId89" ref="D47"/>
    <hyperlink r:id="rId90" ref="A48"/>
    <hyperlink r:id="rId91" ref="D48"/>
    <hyperlink r:id="rId92" ref="A49"/>
    <hyperlink r:id="rId93" ref="A50"/>
    <hyperlink r:id="rId94" ref="A51"/>
    <hyperlink r:id="rId95" ref="D51"/>
  </hyperlinks>
  <drawing r:id="rId9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111</v>
      </c>
      <c r="D1" s="1" t="s">
        <v>3</v>
      </c>
      <c r="E1" s="1" t="s">
        <v>4</v>
      </c>
      <c r="F1" s="1" t="s">
        <v>5</v>
      </c>
      <c r="G1" s="3"/>
      <c r="H1" s="3"/>
      <c r="I1" s="3"/>
      <c r="J1" s="1"/>
      <c r="K1" s="1"/>
      <c r="L1" s="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 t="s">
        <v>112</v>
      </c>
      <c r="B2" s="1" t="s">
        <v>9</v>
      </c>
      <c r="C2" s="10">
        <v>45148.0</v>
      </c>
      <c r="D2" s="1" t="s">
        <v>113</v>
      </c>
      <c r="E2" s="11">
        <v>45033.0</v>
      </c>
      <c r="F2" s="11">
        <v>45033.0</v>
      </c>
      <c r="G2" s="10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 t="s">
        <v>114</v>
      </c>
      <c r="B3" s="1" t="s">
        <v>115</v>
      </c>
      <c r="C3" s="10">
        <v>45272.0</v>
      </c>
      <c r="D3" s="3"/>
      <c r="E3" s="11">
        <v>45033.0</v>
      </c>
      <c r="F3" s="11">
        <v>45033.0</v>
      </c>
      <c r="G3" s="10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 t="s">
        <v>116</v>
      </c>
      <c r="B4" s="1" t="s">
        <v>115</v>
      </c>
      <c r="C4" s="10">
        <v>45083.0</v>
      </c>
      <c r="D4" s="1" t="s">
        <v>117</v>
      </c>
      <c r="E4" s="11">
        <v>45034.0</v>
      </c>
      <c r="F4" s="11">
        <v>45034.0</v>
      </c>
      <c r="G4" s="10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 t="s">
        <v>118</v>
      </c>
      <c r="B5" s="1" t="s">
        <v>115</v>
      </c>
      <c r="C5" s="10">
        <v>45241.0</v>
      </c>
      <c r="D5" s="3"/>
      <c r="E5" s="11">
        <v>45034.0</v>
      </c>
      <c r="F5" s="11">
        <v>45034.0</v>
      </c>
      <c r="G5" s="10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 t="s">
        <v>119</v>
      </c>
      <c r="B6" s="1" t="s">
        <v>115</v>
      </c>
      <c r="C6" s="10">
        <v>45083.0</v>
      </c>
      <c r="D6" s="3"/>
      <c r="E6" s="11">
        <v>45034.0</v>
      </c>
      <c r="F6" s="11">
        <v>45034.0</v>
      </c>
      <c r="G6" s="10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 t="s">
        <v>120</v>
      </c>
      <c r="B7" s="1" t="s">
        <v>115</v>
      </c>
      <c r="C7" s="10">
        <v>45083.0</v>
      </c>
      <c r="D7" s="1" t="s">
        <v>121</v>
      </c>
      <c r="E7" s="11">
        <v>45035.0</v>
      </c>
      <c r="F7" s="11">
        <v>45035.0</v>
      </c>
      <c r="G7" s="1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 t="s">
        <v>122</v>
      </c>
      <c r="B8" s="1" t="s">
        <v>8</v>
      </c>
      <c r="C8" s="12" t="s">
        <v>123</v>
      </c>
      <c r="D8" s="1" t="s">
        <v>124</v>
      </c>
      <c r="E8" s="11">
        <v>45035.0</v>
      </c>
      <c r="F8" s="11">
        <v>45036.0</v>
      </c>
      <c r="G8" s="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 t="s">
        <v>125</v>
      </c>
      <c r="B9" s="1" t="s">
        <v>115</v>
      </c>
      <c r="C9" s="1" t="s">
        <v>126</v>
      </c>
      <c r="D9" s="1" t="s">
        <v>127</v>
      </c>
      <c r="E9" s="11">
        <v>45036.0</v>
      </c>
      <c r="F9" s="11">
        <v>45036.0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128</v>
      </c>
      <c r="B10" s="1"/>
      <c r="C10" s="10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1"/>
      <c r="C11" s="10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1"/>
      <c r="C12" s="10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1"/>
      <c r="C13" s="10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1"/>
      <c r="C14" s="10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1"/>
      <c r="C15" s="10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1"/>
      <c r="C16" s="10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1"/>
      <c r="C17" s="10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1"/>
      <c r="C18" s="10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1"/>
      <c r="C19" s="10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1"/>
      <c r="C20" s="10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1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1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1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1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1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1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1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1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1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1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1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B1:B1000 G1:J1 L1">
    <cfRule type="cellIs" dxfId="10" priority="1" operator="equal">
      <formula>"Complete"</formula>
    </cfRule>
  </conditionalFormatting>
  <conditionalFormatting sqref="B1:B1000 G1:J1 L1">
    <cfRule type="cellIs" dxfId="11" priority="2" operator="equal">
      <formula>"Failed"</formula>
    </cfRule>
  </conditionalFormatting>
  <conditionalFormatting sqref="B1:B1000 G1:J1 L1">
    <cfRule type="cellIs" dxfId="12" priority="3" operator="equal">
      <formula>"Mindsolved"</formula>
    </cfRule>
  </conditionalFormatting>
  <conditionalFormatting sqref="B1:B1000 G1:J1 L1">
    <cfRule type="cellIs" dxfId="13" priority="4" operator="equal">
      <formula>"Active"</formula>
    </cfRule>
  </conditionalFormatting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</cols>
  <sheetData>
    <row r="1">
      <c r="A1" s="13" t="s">
        <v>129</v>
      </c>
      <c r="B1" s="14" t="s">
        <v>0</v>
      </c>
      <c r="C1" s="15" t="s">
        <v>130</v>
      </c>
      <c r="D1" s="14" t="s">
        <v>3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>
      <c r="A2" s="16" t="s">
        <v>131</v>
      </c>
      <c r="B2" s="14"/>
      <c r="C2" s="17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>
      <c r="A3" s="13">
        <v>443.0</v>
      </c>
      <c r="B3" s="18" t="s">
        <v>132</v>
      </c>
      <c r="C3" s="17">
        <v>2811.0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>
      <c r="A4" s="13">
        <v>704.0</v>
      </c>
      <c r="B4" s="18" t="s">
        <v>133</v>
      </c>
      <c r="C4" s="17">
        <v>1965.0</v>
      </c>
      <c r="D4" s="19" t="s">
        <v>134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>
      <c r="A5" s="13">
        <v>74.0</v>
      </c>
      <c r="B5" s="18" t="s">
        <v>135</v>
      </c>
      <c r="C5" s="17">
        <v>2380.0</v>
      </c>
      <c r="D5" s="19" t="s">
        <v>136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>
      <c r="A6" s="13" t="s">
        <v>137</v>
      </c>
      <c r="B6" s="18" t="s">
        <v>138</v>
      </c>
      <c r="C6" s="17">
        <v>2630.0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>
      <c r="A7" s="13">
        <v>505.0</v>
      </c>
      <c r="B7" s="18" t="s">
        <v>139</v>
      </c>
      <c r="C7" s="17">
        <v>2703.0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>
      <c r="A8" s="13">
        <v>453.0</v>
      </c>
      <c r="B8" s="18" t="s">
        <v>140</v>
      </c>
      <c r="C8" s="17">
        <v>2312.0</v>
      </c>
      <c r="D8" s="14" t="s">
        <v>141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>
      <c r="A9" s="13">
        <v>406.0</v>
      </c>
      <c r="B9" s="18" t="s">
        <v>142</v>
      </c>
      <c r="C9" s="17">
        <v>2219.0</v>
      </c>
      <c r="D9" s="19" t="s">
        <v>143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>
      <c r="A10" s="13">
        <v>507.0</v>
      </c>
      <c r="B10" s="18" t="s">
        <v>144</v>
      </c>
      <c r="C10" s="17">
        <v>2329.0</v>
      </c>
      <c r="D10" s="19" t="s">
        <v>145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>
      <c r="A11" s="13" t="s">
        <v>146</v>
      </c>
      <c r="B11" s="18" t="s">
        <v>147</v>
      </c>
      <c r="C11" s="17">
        <v>2570.0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>
      <c r="A12" s="13">
        <v>438.0</v>
      </c>
      <c r="B12" s="18" t="s">
        <v>148</v>
      </c>
      <c r="C12" s="17">
        <v>2642.0</v>
      </c>
      <c r="D12" s="19" t="s">
        <v>149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>
      <c r="A13" s="13">
        <v>706.0</v>
      </c>
      <c r="B13" s="18" t="s">
        <v>150</v>
      </c>
      <c r="C13" s="17">
        <v>2514.0</v>
      </c>
      <c r="D13" s="14" t="s">
        <v>151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>
      <c r="A14" s="13">
        <v>707.0</v>
      </c>
      <c r="B14" s="18" t="s">
        <v>152</v>
      </c>
      <c r="C14" s="17">
        <v>2477.0</v>
      </c>
      <c r="D14" s="19" t="s">
        <v>153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>
      <c r="A15" s="13">
        <v>709.0</v>
      </c>
      <c r="B15" s="18" t="s">
        <v>154</v>
      </c>
      <c r="C15" s="17">
        <v>2921.0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>
      <c r="A16" s="20">
        <v>718.0</v>
      </c>
      <c r="B16" s="7" t="s">
        <v>155</v>
      </c>
      <c r="C16" s="17">
        <v>2571.0</v>
      </c>
      <c r="D16" s="3"/>
      <c r="E16" s="3"/>
      <c r="F16" s="3"/>
      <c r="G16" s="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>
      <c r="A17" s="20" t="s">
        <v>156</v>
      </c>
      <c r="B17" s="7" t="s">
        <v>157</v>
      </c>
      <c r="C17" s="17">
        <v>2703.0</v>
      </c>
      <c r="D17" s="3"/>
      <c r="E17" s="3"/>
      <c r="F17" s="3"/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>
      <c r="A18" s="20">
        <v>728.0</v>
      </c>
      <c r="B18" s="7" t="s">
        <v>158</v>
      </c>
      <c r="C18" s="17">
        <v>2556.0</v>
      </c>
      <c r="D18" s="3"/>
      <c r="E18" s="3"/>
      <c r="F18" s="3"/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>
      <c r="A19" s="20">
        <v>722.0</v>
      </c>
      <c r="B19" s="7" t="s">
        <v>159</v>
      </c>
      <c r="C19" s="17">
        <v>2474.0</v>
      </c>
      <c r="D19" s="3"/>
      <c r="E19" s="3"/>
      <c r="F19" s="3"/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>
      <c r="A20" s="20">
        <v>831.0</v>
      </c>
      <c r="B20" s="7" t="s">
        <v>160</v>
      </c>
      <c r="C20" s="17">
        <v>2528.0</v>
      </c>
      <c r="D20" s="3"/>
      <c r="E20" s="3"/>
      <c r="F20" s="3"/>
      <c r="G20" s="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>
      <c r="A21" s="20">
        <v>865.0</v>
      </c>
      <c r="B21" s="7" t="s">
        <v>161</v>
      </c>
      <c r="C21" s="17">
        <v>2579.0</v>
      </c>
      <c r="D21" s="1" t="s">
        <v>162</v>
      </c>
      <c r="E21" s="3"/>
      <c r="F21" s="3"/>
      <c r="G21" s="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>
      <c r="A22" s="20" t="s">
        <v>163</v>
      </c>
      <c r="B22" s="7" t="s">
        <v>164</v>
      </c>
      <c r="C22" s="17">
        <v>2545.0</v>
      </c>
      <c r="D22" s="1" t="s">
        <v>165</v>
      </c>
      <c r="E22" s="3"/>
      <c r="F22" s="3"/>
      <c r="G22" s="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>
      <c r="A23" s="20">
        <v>866.0</v>
      </c>
      <c r="B23" s="7" t="s">
        <v>166</v>
      </c>
      <c r="C23" s="17">
        <v>2298.0</v>
      </c>
      <c r="D23" s="1" t="s">
        <v>167</v>
      </c>
      <c r="E23" s="3"/>
      <c r="F23" s="3"/>
      <c r="G23" s="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>
      <c r="A24" s="20" t="s">
        <v>168</v>
      </c>
      <c r="B24" s="7" t="s">
        <v>169</v>
      </c>
      <c r="C24" s="17">
        <v>2700.0</v>
      </c>
      <c r="D24" s="1" t="s">
        <v>170</v>
      </c>
      <c r="E24" s="3"/>
      <c r="F24" s="3"/>
      <c r="G24" s="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>
      <c r="A25" s="20" t="s">
        <v>171</v>
      </c>
      <c r="B25" s="7" t="s">
        <v>172</v>
      </c>
      <c r="C25" s="17">
        <v>2871.0</v>
      </c>
      <c r="D25" s="1" t="s">
        <v>173</v>
      </c>
      <c r="E25" s="3"/>
      <c r="F25" s="3"/>
      <c r="G25" s="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>
      <c r="A26" s="20" t="s">
        <v>174</v>
      </c>
      <c r="B26" s="7" t="s">
        <v>175</v>
      </c>
      <c r="C26" s="17">
        <v>2392.0</v>
      </c>
      <c r="D26" s="1" t="s">
        <v>176</v>
      </c>
      <c r="E26" s="1" t="s">
        <v>177</v>
      </c>
      <c r="F26" s="3"/>
      <c r="G26" s="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>
      <c r="A27" s="20" t="s">
        <v>178</v>
      </c>
      <c r="B27" s="7" t="s">
        <v>179</v>
      </c>
      <c r="C27" s="17">
        <v>2700.0</v>
      </c>
      <c r="D27" s="1" t="s">
        <v>180</v>
      </c>
      <c r="E27" s="3"/>
      <c r="F27" s="3"/>
      <c r="G27" s="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>
      <c r="A28" s="21">
        <v>872.0</v>
      </c>
      <c r="B28" s="22" t="s">
        <v>181</v>
      </c>
      <c r="C28" s="17">
        <v>2845.0</v>
      </c>
      <c r="D28" s="23" t="s">
        <v>182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>
      <c r="A29" s="21">
        <v>884.0</v>
      </c>
      <c r="B29" s="22" t="s">
        <v>183</v>
      </c>
      <c r="C29" s="17">
        <v>2592.0</v>
      </c>
      <c r="D29" s="23" t="s">
        <v>184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>
      <c r="A30" s="21">
        <v>814.0</v>
      </c>
      <c r="B30" s="22" t="s">
        <v>185</v>
      </c>
      <c r="C30" s="17">
        <v>2728.0</v>
      </c>
      <c r="D30" s="23" t="s">
        <v>186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>
      <c r="A31" s="21">
        <v>887.0</v>
      </c>
      <c r="B31" s="22" t="s">
        <v>187</v>
      </c>
      <c r="C31" s="17">
        <v>3115.0</v>
      </c>
      <c r="D31" s="23" t="s">
        <v>188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>
      <c r="A32" s="21">
        <v>889.0</v>
      </c>
      <c r="B32" s="22" t="s">
        <v>189</v>
      </c>
      <c r="C32" s="17">
        <v>2717.0</v>
      </c>
      <c r="D32" s="23" t="s">
        <v>190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>
      <c r="A33" s="21">
        <v>808.0</v>
      </c>
      <c r="B33" s="22" t="s">
        <v>191</v>
      </c>
      <c r="C33" s="17">
        <v>2879.0</v>
      </c>
      <c r="D33" s="23" t="s">
        <v>192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>
      <c r="A34" s="21" t="s">
        <v>193</v>
      </c>
      <c r="B34" s="22" t="s">
        <v>194</v>
      </c>
      <c r="C34" s="17">
        <v>2538.0</v>
      </c>
      <c r="D34" s="23" t="s">
        <v>195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21">
        <v>800.0</v>
      </c>
      <c r="B35" s="22" t="s">
        <v>196</v>
      </c>
      <c r="C35" s="17">
        <v>2995.0</v>
      </c>
      <c r="D35" s="23" t="s">
        <v>197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>
      <c r="A36" s="21" t="s">
        <v>198</v>
      </c>
      <c r="B36" s="22" t="s">
        <v>199</v>
      </c>
      <c r="C36" s="17">
        <v>2694.0</v>
      </c>
      <c r="D36" s="23" t="s">
        <v>200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>
      <c r="A37" s="21">
        <v>796.0</v>
      </c>
      <c r="B37" s="22" t="s">
        <v>201</v>
      </c>
      <c r="C37" s="17">
        <v>2243.0</v>
      </c>
      <c r="D37" s="23" t="s">
        <v>202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>
      <c r="A38" s="21">
        <v>896.0</v>
      </c>
      <c r="B38" s="22" t="s">
        <v>203</v>
      </c>
      <c r="C38" s="17">
        <v>3334.0</v>
      </c>
      <c r="D38" s="23" t="s">
        <v>204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>
      <c r="A39" s="21" t="s">
        <v>205</v>
      </c>
      <c r="B39" s="24" t="s">
        <v>206</v>
      </c>
      <c r="C39" s="17">
        <v>2888.0</v>
      </c>
      <c r="D39" s="23" t="s">
        <v>207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>
      <c r="A40" s="21" t="s">
        <v>208</v>
      </c>
      <c r="B40" s="22" t="s">
        <v>209</v>
      </c>
      <c r="C40" s="17">
        <v>2835.0</v>
      </c>
      <c r="D40" s="23" t="s">
        <v>210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>
      <c r="A41" s="21">
        <v>794.0</v>
      </c>
      <c r="B41" s="22" t="s">
        <v>211</v>
      </c>
      <c r="C41" s="17">
        <v>2525.0</v>
      </c>
      <c r="D41" s="23" t="s">
        <v>212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>
      <c r="A42" s="21">
        <v>792.0</v>
      </c>
      <c r="B42" s="22" t="s">
        <v>213</v>
      </c>
      <c r="C42" s="17">
        <v>2649.0</v>
      </c>
      <c r="D42" s="23" t="s">
        <v>214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>
      <c r="A43" s="21">
        <v>789.0</v>
      </c>
      <c r="B43" s="22" t="s">
        <v>215</v>
      </c>
      <c r="C43" s="17">
        <v>2811.0</v>
      </c>
      <c r="D43" s="23" t="s">
        <v>216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>
      <c r="A44" s="21">
        <v>783.0</v>
      </c>
      <c r="B44" s="22" t="s">
        <v>217</v>
      </c>
      <c r="C44" s="17">
        <v>3038.0</v>
      </c>
      <c r="D44" s="23" t="s">
        <v>218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>
      <c r="A45" s="21">
        <v>902.0</v>
      </c>
      <c r="B45" s="22" t="s">
        <v>219</v>
      </c>
      <c r="C45" s="17">
        <v>2753.0</v>
      </c>
      <c r="D45" s="23" t="s">
        <v>220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>
      <c r="A46" s="21">
        <v>906.0</v>
      </c>
      <c r="B46" s="22" t="s">
        <v>221</v>
      </c>
      <c r="C46" s="17">
        <v>3006.0</v>
      </c>
      <c r="D46" s="23" t="s">
        <v>222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>
      <c r="A47" s="21">
        <v>908.0</v>
      </c>
      <c r="B47" s="25" t="s">
        <v>223</v>
      </c>
      <c r="C47" s="17">
        <v>3305.0</v>
      </c>
      <c r="D47" s="23" t="s">
        <v>224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>
      <c r="A48" s="21" t="s">
        <v>225</v>
      </c>
      <c r="B48" s="22" t="s">
        <v>226</v>
      </c>
      <c r="C48" s="17">
        <v>2450.0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>
      <c r="A49" s="21">
        <v>901.0</v>
      </c>
      <c r="B49" s="22" t="s">
        <v>227</v>
      </c>
      <c r="C49" s="17">
        <v>2641.0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>
      <c r="A50" s="21">
        <v>905.0</v>
      </c>
      <c r="B50" s="22" t="s">
        <v>228</v>
      </c>
      <c r="C50" s="17">
        <v>2880.0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>
      <c r="A51" s="21" t="s">
        <v>229</v>
      </c>
      <c r="B51" s="22" t="s">
        <v>230</v>
      </c>
      <c r="C51" s="17">
        <v>2990.0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>
      <c r="A52" s="21">
        <v>775.0</v>
      </c>
      <c r="B52" s="22" t="s">
        <v>231</v>
      </c>
      <c r="C52" s="17">
        <v>2616.0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>
      <c r="A53" s="21" t="s">
        <v>232</v>
      </c>
      <c r="B53" s="22" t="s">
        <v>233</v>
      </c>
      <c r="C53" s="17">
        <v>2870.0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>
      <c r="A54" s="21" t="s">
        <v>234</v>
      </c>
      <c r="B54" s="22" t="s">
        <v>235</v>
      </c>
      <c r="C54" s="17">
        <v>3063.0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>
      <c r="A55" s="21">
        <v>921.0</v>
      </c>
      <c r="B55" s="22" t="s">
        <v>236</v>
      </c>
      <c r="C55" s="17">
        <v>2690.0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>
      <c r="A56" s="21" t="s">
        <v>237</v>
      </c>
      <c r="B56" s="22" t="s">
        <v>238</v>
      </c>
      <c r="C56" s="17">
        <v>2821.0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>
      <c r="A57" s="21" t="s">
        <v>239</v>
      </c>
      <c r="B57" s="22" t="s">
        <v>240</v>
      </c>
      <c r="C57" s="17">
        <v>2734.0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>
      <c r="A58" s="21">
        <v>773.0</v>
      </c>
      <c r="B58" s="22" t="s">
        <v>241</v>
      </c>
      <c r="C58" s="17">
        <v>2839.0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>
      <c r="A59" s="21">
        <v>768.0</v>
      </c>
      <c r="B59" s="22" t="s">
        <v>242</v>
      </c>
      <c r="C59" s="17">
        <v>3106.0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>
      <c r="A60" s="13"/>
      <c r="B60" s="14"/>
      <c r="C60" s="26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>
      <c r="A61" s="13"/>
      <c r="B61" s="14"/>
      <c r="C61" s="26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>
      <c r="A62" s="13"/>
      <c r="B62" s="14"/>
      <c r="C62" s="26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>
      <c r="A63" s="13"/>
      <c r="B63" s="14"/>
      <c r="C63" s="26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>
      <c r="A64" s="13"/>
      <c r="B64" s="14"/>
      <c r="C64" s="26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>
      <c r="A65" s="13"/>
      <c r="B65" s="14"/>
      <c r="C65" s="26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>
      <c r="A66" s="13"/>
      <c r="B66" s="14"/>
      <c r="C66" s="26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>
      <c r="A67" s="13"/>
      <c r="B67" s="14"/>
      <c r="C67" s="26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>
      <c r="A68" s="13"/>
      <c r="B68" s="14"/>
      <c r="C68" s="26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>
      <c r="A69" s="13"/>
      <c r="B69" s="14"/>
      <c r="C69" s="26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>
      <c r="A70" s="13"/>
      <c r="B70" s="14"/>
      <c r="C70" s="26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>
      <c r="A71" s="13"/>
      <c r="B71" s="14"/>
      <c r="C71" s="26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>
      <c r="A72" s="13"/>
      <c r="B72" s="14"/>
      <c r="C72" s="26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>
      <c r="A73" s="13"/>
      <c r="B73" s="14"/>
      <c r="C73" s="26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>
      <c r="A74" s="13"/>
      <c r="B74" s="14"/>
      <c r="C74" s="26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>
      <c r="A75" s="13"/>
      <c r="B75" s="14"/>
      <c r="C75" s="26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>
      <c r="A76" s="13"/>
      <c r="B76" s="14"/>
      <c r="C76" s="26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>
      <c r="A77" s="13"/>
      <c r="B77" s="14"/>
      <c r="C77" s="26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>
      <c r="A78" s="13"/>
      <c r="B78" s="14"/>
      <c r="C78" s="26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>
      <c r="A79" s="13"/>
      <c r="B79" s="14"/>
      <c r="C79" s="26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>
      <c r="A80" s="13"/>
      <c r="B80" s="14"/>
      <c r="C80" s="26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>
      <c r="A81" s="13"/>
      <c r="B81" s="14"/>
      <c r="C81" s="26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>
      <c r="A82" s="13"/>
      <c r="B82" s="14"/>
      <c r="C82" s="26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>
      <c r="A83" s="13"/>
      <c r="B83" s="14"/>
      <c r="C83" s="26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>
      <c r="A84" s="13"/>
      <c r="B84" s="14"/>
      <c r="C84" s="26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>
      <c r="A85" s="13"/>
      <c r="B85" s="14"/>
      <c r="C85" s="26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>
      <c r="A86" s="13"/>
      <c r="B86" s="14"/>
      <c r="C86" s="26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>
      <c r="A87" s="13"/>
      <c r="B87" s="14"/>
      <c r="C87" s="26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>
      <c r="A88" s="13"/>
      <c r="B88" s="14"/>
      <c r="C88" s="26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>
      <c r="A89" s="13"/>
      <c r="B89" s="14"/>
      <c r="C89" s="26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>
      <c r="A90" s="13"/>
      <c r="B90" s="14"/>
      <c r="C90" s="26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>
      <c r="A91" s="13"/>
      <c r="B91" s="14"/>
      <c r="C91" s="26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>
      <c r="A92" s="13"/>
      <c r="B92" s="14"/>
      <c r="C92" s="26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>
      <c r="A93" s="13"/>
      <c r="B93" s="14"/>
      <c r="C93" s="26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>
      <c r="A94" s="13"/>
      <c r="B94" s="14"/>
      <c r="C94" s="26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>
      <c r="A95" s="13"/>
      <c r="B95" s="14"/>
      <c r="C95" s="26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>
      <c r="A96" s="13"/>
      <c r="B96" s="14"/>
      <c r="C96" s="26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>
      <c r="A97" s="13"/>
      <c r="B97" s="14"/>
      <c r="C97" s="26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>
      <c r="A98" s="13"/>
      <c r="B98" s="14"/>
      <c r="C98" s="26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>
      <c r="A99" s="13"/>
      <c r="B99" s="14"/>
      <c r="C99" s="26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>
      <c r="A100" s="13"/>
      <c r="B100" s="14"/>
      <c r="C100" s="26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>
      <c r="A101" s="13"/>
      <c r="B101" s="14"/>
      <c r="C101" s="26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>
      <c r="A102" s="13"/>
      <c r="B102" s="14"/>
      <c r="C102" s="26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>
      <c r="A103" s="13"/>
      <c r="B103" s="14"/>
      <c r="C103" s="26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>
      <c r="A104" s="13"/>
      <c r="B104" s="14"/>
      <c r="C104" s="26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>
      <c r="A105" s="13"/>
      <c r="B105" s="14"/>
      <c r="C105" s="26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>
      <c r="A106" s="13"/>
      <c r="B106" s="14"/>
      <c r="C106" s="26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>
      <c r="A107" s="13"/>
      <c r="B107" s="14"/>
      <c r="C107" s="26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>
      <c r="A108" s="13"/>
      <c r="B108" s="14"/>
      <c r="C108" s="26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>
      <c r="A109" s="13"/>
      <c r="B109" s="14"/>
      <c r="C109" s="26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>
      <c r="A110" s="13"/>
      <c r="B110" s="14"/>
      <c r="C110" s="26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>
      <c r="A111" s="13"/>
      <c r="B111" s="14"/>
      <c r="C111" s="26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>
      <c r="A112" s="13"/>
      <c r="B112" s="14"/>
      <c r="C112" s="26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>
      <c r="A113" s="13"/>
      <c r="B113" s="14"/>
      <c r="C113" s="26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>
      <c r="A114" s="13"/>
      <c r="B114" s="14"/>
      <c r="C114" s="26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>
      <c r="A115" s="13"/>
      <c r="B115" s="14"/>
      <c r="C115" s="26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>
      <c r="A116" s="13"/>
      <c r="B116" s="14"/>
      <c r="C116" s="26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>
      <c r="A117" s="13"/>
      <c r="B117" s="14"/>
      <c r="C117" s="26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>
      <c r="A118" s="13"/>
      <c r="B118" s="14"/>
      <c r="C118" s="26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>
      <c r="A119" s="13"/>
      <c r="B119" s="14"/>
      <c r="C119" s="26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>
      <c r="A120" s="13"/>
      <c r="B120" s="14"/>
      <c r="C120" s="26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>
      <c r="A121" s="13"/>
      <c r="B121" s="14"/>
      <c r="C121" s="26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>
      <c r="A122" s="13"/>
      <c r="B122" s="14"/>
      <c r="C122" s="26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>
      <c r="A123" s="13"/>
      <c r="B123" s="14"/>
      <c r="C123" s="26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>
      <c r="A124" s="13"/>
      <c r="B124" s="14"/>
      <c r="C124" s="26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>
      <c r="A125" s="13"/>
      <c r="B125" s="14"/>
      <c r="C125" s="26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>
      <c r="A126" s="13"/>
      <c r="B126" s="14"/>
      <c r="C126" s="26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>
      <c r="A127" s="13"/>
      <c r="B127" s="14"/>
      <c r="C127" s="26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>
      <c r="A128" s="13"/>
      <c r="B128" s="14"/>
      <c r="C128" s="26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>
      <c r="A129" s="13"/>
      <c r="B129" s="14"/>
      <c r="C129" s="26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>
      <c r="A130" s="13"/>
      <c r="B130" s="14"/>
      <c r="C130" s="26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>
      <c r="A131" s="13"/>
      <c r="B131" s="14"/>
      <c r="C131" s="26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>
      <c r="A132" s="13"/>
      <c r="B132" s="14"/>
      <c r="C132" s="26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>
      <c r="A133" s="13"/>
      <c r="B133" s="14"/>
      <c r="C133" s="26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>
      <c r="A134" s="13"/>
      <c r="B134" s="14"/>
      <c r="C134" s="26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>
      <c r="A135" s="13"/>
      <c r="B135" s="14"/>
      <c r="C135" s="26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>
      <c r="A136" s="13"/>
      <c r="B136" s="14"/>
      <c r="C136" s="26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>
      <c r="A137" s="13"/>
      <c r="B137" s="14"/>
      <c r="C137" s="26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>
      <c r="A138" s="13"/>
      <c r="B138" s="14"/>
      <c r="C138" s="26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>
      <c r="A139" s="13"/>
      <c r="B139" s="14"/>
      <c r="C139" s="26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>
      <c r="A140" s="13"/>
      <c r="B140" s="14"/>
      <c r="C140" s="26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>
      <c r="A141" s="13"/>
      <c r="B141" s="14"/>
      <c r="C141" s="26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>
      <c r="A142" s="13"/>
      <c r="B142" s="14"/>
      <c r="C142" s="26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>
      <c r="A143" s="13"/>
      <c r="B143" s="14"/>
      <c r="C143" s="26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>
      <c r="A144" s="13"/>
      <c r="B144" s="14"/>
      <c r="C144" s="26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>
      <c r="A145" s="13"/>
      <c r="B145" s="14"/>
      <c r="C145" s="26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>
      <c r="A146" s="13"/>
      <c r="B146" s="14"/>
      <c r="C146" s="26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>
      <c r="A147" s="13"/>
      <c r="B147" s="14"/>
      <c r="C147" s="26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>
      <c r="A148" s="13"/>
      <c r="B148" s="14"/>
      <c r="C148" s="26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>
      <c r="A149" s="13"/>
      <c r="B149" s="14"/>
      <c r="C149" s="26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>
      <c r="A150" s="13"/>
      <c r="B150" s="14"/>
      <c r="C150" s="26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>
      <c r="A151" s="13"/>
      <c r="B151" s="14"/>
      <c r="C151" s="26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>
      <c r="A152" s="13"/>
      <c r="B152" s="14"/>
      <c r="C152" s="26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>
      <c r="A153" s="13"/>
      <c r="B153" s="14"/>
      <c r="C153" s="26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>
      <c r="A154" s="13"/>
      <c r="B154" s="14"/>
      <c r="C154" s="26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>
      <c r="A155" s="13"/>
      <c r="B155" s="14"/>
      <c r="C155" s="26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>
      <c r="A156" s="13"/>
      <c r="B156" s="14"/>
      <c r="C156" s="26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>
      <c r="A157" s="13"/>
      <c r="B157" s="14"/>
      <c r="C157" s="26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>
      <c r="A158" s="13"/>
      <c r="B158" s="14"/>
      <c r="C158" s="26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>
      <c r="A159" s="13"/>
      <c r="B159" s="14"/>
      <c r="C159" s="26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>
      <c r="A160" s="13"/>
      <c r="B160" s="14"/>
      <c r="C160" s="26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>
      <c r="A161" s="13"/>
      <c r="B161" s="14"/>
      <c r="C161" s="26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>
      <c r="A162" s="13"/>
      <c r="B162" s="14"/>
      <c r="C162" s="26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>
      <c r="A163" s="13"/>
      <c r="B163" s="14"/>
      <c r="C163" s="26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>
      <c r="A164" s="13"/>
      <c r="B164" s="14"/>
      <c r="C164" s="26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>
      <c r="A165" s="13"/>
      <c r="B165" s="14"/>
      <c r="C165" s="26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>
      <c r="A166" s="13"/>
      <c r="B166" s="14"/>
      <c r="C166" s="26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>
      <c r="A167" s="13"/>
      <c r="B167" s="14"/>
      <c r="C167" s="26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>
      <c r="A168" s="13"/>
      <c r="B168" s="14"/>
      <c r="C168" s="26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>
      <c r="A169" s="13"/>
      <c r="B169" s="14"/>
      <c r="C169" s="26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>
      <c r="A170" s="13"/>
      <c r="B170" s="14"/>
      <c r="C170" s="26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>
      <c r="A171" s="13"/>
      <c r="B171" s="14"/>
      <c r="C171" s="26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>
      <c r="A172" s="13"/>
      <c r="B172" s="14"/>
      <c r="C172" s="26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>
      <c r="A173" s="13"/>
      <c r="B173" s="14"/>
      <c r="C173" s="26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>
      <c r="A174" s="13"/>
      <c r="B174" s="14"/>
      <c r="C174" s="26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>
      <c r="A175" s="13"/>
      <c r="B175" s="14"/>
      <c r="C175" s="26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>
      <c r="A176" s="13"/>
      <c r="B176" s="14"/>
      <c r="C176" s="26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>
      <c r="A177" s="13"/>
      <c r="B177" s="14"/>
      <c r="C177" s="26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>
      <c r="A178" s="13"/>
      <c r="B178" s="14"/>
      <c r="C178" s="26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>
      <c r="A179" s="13"/>
      <c r="B179" s="14"/>
      <c r="C179" s="26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>
      <c r="A180" s="13"/>
      <c r="B180" s="14"/>
      <c r="C180" s="26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>
      <c r="A181" s="13"/>
      <c r="B181" s="14"/>
      <c r="C181" s="26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>
      <c r="A182" s="13"/>
      <c r="B182" s="14"/>
      <c r="C182" s="26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>
      <c r="A183" s="13"/>
      <c r="B183" s="14"/>
      <c r="C183" s="26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>
      <c r="A184" s="13"/>
      <c r="B184" s="14"/>
      <c r="C184" s="26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>
      <c r="A185" s="13"/>
      <c r="B185" s="14"/>
      <c r="C185" s="26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>
      <c r="A186" s="13"/>
      <c r="B186" s="14"/>
      <c r="C186" s="26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>
      <c r="A187" s="13"/>
      <c r="B187" s="14"/>
      <c r="C187" s="26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>
      <c r="A188" s="13"/>
      <c r="B188" s="14"/>
      <c r="C188" s="26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>
      <c r="A189" s="13"/>
      <c r="B189" s="14"/>
      <c r="C189" s="26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>
      <c r="A190" s="13"/>
      <c r="B190" s="14"/>
      <c r="C190" s="26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>
      <c r="A191" s="13"/>
      <c r="B191" s="14"/>
      <c r="C191" s="26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>
      <c r="A192" s="13"/>
      <c r="B192" s="14"/>
      <c r="C192" s="26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>
      <c r="A193" s="13"/>
      <c r="B193" s="14"/>
      <c r="C193" s="26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>
      <c r="A194" s="13"/>
      <c r="B194" s="14"/>
      <c r="C194" s="26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>
      <c r="A195" s="13"/>
      <c r="B195" s="14"/>
      <c r="C195" s="26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>
      <c r="A196" s="13"/>
      <c r="B196" s="14"/>
      <c r="C196" s="26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>
      <c r="A197" s="13"/>
      <c r="B197" s="14"/>
      <c r="C197" s="26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>
      <c r="A198" s="13"/>
      <c r="B198" s="14"/>
      <c r="C198" s="26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>
      <c r="A199" s="13"/>
      <c r="B199" s="14"/>
      <c r="C199" s="26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>
      <c r="A200" s="13"/>
      <c r="B200" s="14"/>
      <c r="C200" s="26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>
      <c r="A201" s="13"/>
      <c r="B201" s="14"/>
      <c r="C201" s="26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>
      <c r="A202" s="13"/>
      <c r="B202" s="14"/>
      <c r="C202" s="26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>
      <c r="A203" s="13"/>
      <c r="B203" s="14"/>
      <c r="C203" s="26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>
      <c r="A204" s="13"/>
      <c r="B204" s="14"/>
      <c r="C204" s="26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>
      <c r="A205" s="13"/>
      <c r="B205" s="14"/>
      <c r="C205" s="26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>
      <c r="A206" s="13"/>
      <c r="B206" s="14"/>
      <c r="C206" s="26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>
      <c r="A207" s="13"/>
      <c r="B207" s="14"/>
      <c r="C207" s="26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>
      <c r="A208" s="13"/>
      <c r="B208" s="14"/>
      <c r="C208" s="26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>
      <c r="A209" s="13"/>
      <c r="B209" s="14"/>
      <c r="C209" s="26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>
      <c r="A210" s="13"/>
      <c r="B210" s="14"/>
      <c r="C210" s="26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>
      <c r="A211" s="13"/>
      <c r="B211" s="14"/>
      <c r="C211" s="26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>
      <c r="A212" s="13"/>
      <c r="B212" s="14"/>
      <c r="C212" s="26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>
      <c r="A213" s="13"/>
      <c r="B213" s="14"/>
      <c r="C213" s="26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>
      <c r="A214" s="13"/>
      <c r="B214" s="14"/>
      <c r="C214" s="26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>
      <c r="A215" s="13"/>
      <c r="B215" s="14"/>
      <c r="C215" s="26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>
      <c r="A216" s="13"/>
      <c r="B216" s="14"/>
      <c r="C216" s="26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>
      <c r="A217" s="13"/>
      <c r="B217" s="14"/>
      <c r="C217" s="26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>
      <c r="A218" s="13"/>
      <c r="B218" s="14"/>
      <c r="C218" s="26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>
      <c r="A219" s="13"/>
      <c r="B219" s="14"/>
      <c r="C219" s="26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>
      <c r="A220" s="13"/>
      <c r="B220" s="14"/>
      <c r="C220" s="26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>
      <c r="A221" s="13"/>
      <c r="B221" s="14"/>
      <c r="C221" s="26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>
      <c r="A222" s="13"/>
      <c r="B222" s="14"/>
      <c r="C222" s="26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>
      <c r="A223" s="13"/>
      <c r="B223" s="14"/>
      <c r="C223" s="26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>
      <c r="A224" s="13"/>
      <c r="B224" s="14"/>
      <c r="C224" s="26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>
      <c r="A225" s="13"/>
      <c r="B225" s="14"/>
      <c r="C225" s="26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>
      <c r="A226" s="13"/>
      <c r="B226" s="14"/>
      <c r="C226" s="26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>
      <c r="A227" s="13"/>
      <c r="B227" s="14"/>
      <c r="C227" s="26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>
      <c r="A228" s="13"/>
      <c r="B228" s="14"/>
      <c r="C228" s="26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>
      <c r="A229" s="13"/>
      <c r="B229" s="14"/>
      <c r="C229" s="26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>
      <c r="A230" s="13"/>
      <c r="B230" s="14"/>
      <c r="C230" s="26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>
      <c r="A231" s="13"/>
      <c r="B231" s="14"/>
      <c r="C231" s="26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>
      <c r="A232" s="13"/>
      <c r="B232" s="14"/>
      <c r="C232" s="26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>
      <c r="A233" s="13"/>
      <c r="B233" s="14"/>
      <c r="C233" s="26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>
      <c r="A234" s="13"/>
      <c r="B234" s="14"/>
      <c r="C234" s="26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>
      <c r="A235" s="13"/>
      <c r="B235" s="14"/>
      <c r="C235" s="26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>
      <c r="A236" s="13"/>
      <c r="B236" s="14"/>
      <c r="C236" s="26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>
      <c r="A237" s="13"/>
      <c r="B237" s="14"/>
      <c r="C237" s="26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>
      <c r="A238" s="13"/>
      <c r="B238" s="14"/>
      <c r="C238" s="26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>
      <c r="A239" s="13"/>
      <c r="B239" s="14"/>
      <c r="C239" s="26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>
      <c r="A240" s="13"/>
      <c r="B240" s="14"/>
      <c r="C240" s="26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>
      <c r="A241" s="13"/>
      <c r="B241" s="14"/>
      <c r="C241" s="26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>
      <c r="A242" s="13"/>
      <c r="B242" s="14"/>
      <c r="C242" s="26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>
      <c r="A243" s="13"/>
      <c r="B243" s="14"/>
      <c r="C243" s="26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>
      <c r="A244" s="13"/>
      <c r="B244" s="14"/>
      <c r="C244" s="26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>
      <c r="A245" s="13"/>
      <c r="B245" s="14"/>
      <c r="C245" s="26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>
      <c r="A246" s="13"/>
      <c r="B246" s="14"/>
      <c r="C246" s="26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>
      <c r="A247" s="13"/>
      <c r="B247" s="14"/>
      <c r="C247" s="26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>
      <c r="A248" s="13"/>
      <c r="B248" s="14"/>
      <c r="C248" s="26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>
      <c r="A249" s="13"/>
      <c r="B249" s="14"/>
      <c r="C249" s="26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>
      <c r="A250" s="13"/>
      <c r="B250" s="14"/>
      <c r="C250" s="26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>
      <c r="A251" s="13"/>
      <c r="B251" s="14"/>
      <c r="C251" s="26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>
      <c r="A252" s="13"/>
      <c r="B252" s="14"/>
      <c r="C252" s="26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>
      <c r="A253" s="13"/>
      <c r="B253" s="14"/>
      <c r="C253" s="26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>
      <c r="A254" s="13"/>
      <c r="B254" s="14"/>
      <c r="C254" s="26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>
      <c r="A255" s="13"/>
      <c r="B255" s="14"/>
      <c r="C255" s="26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>
      <c r="A256" s="13"/>
      <c r="B256" s="14"/>
      <c r="C256" s="26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>
      <c r="A257" s="13"/>
      <c r="B257" s="14"/>
      <c r="C257" s="26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>
      <c r="A258" s="13"/>
      <c r="B258" s="14"/>
      <c r="C258" s="26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>
      <c r="A259" s="13"/>
      <c r="B259" s="14"/>
      <c r="C259" s="26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>
      <c r="A260" s="13"/>
      <c r="B260" s="14"/>
      <c r="C260" s="26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>
      <c r="A261" s="13"/>
      <c r="B261" s="14"/>
      <c r="C261" s="26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>
      <c r="A262" s="13"/>
      <c r="B262" s="14"/>
      <c r="C262" s="26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>
      <c r="A263" s="13"/>
      <c r="B263" s="14"/>
      <c r="C263" s="26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>
      <c r="A264" s="13"/>
      <c r="B264" s="14"/>
      <c r="C264" s="26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>
      <c r="A265" s="13"/>
      <c r="B265" s="14"/>
      <c r="C265" s="26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>
      <c r="A266" s="13"/>
      <c r="B266" s="14"/>
      <c r="C266" s="26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>
      <c r="A267" s="13"/>
      <c r="B267" s="14"/>
      <c r="C267" s="26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>
      <c r="A268" s="13"/>
      <c r="B268" s="14"/>
      <c r="C268" s="26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>
      <c r="A269" s="13"/>
      <c r="B269" s="14"/>
      <c r="C269" s="26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>
      <c r="A270" s="13"/>
      <c r="B270" s="14"/>
      <c r="C270" s="26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>
      <c r="A271" s="13"/>
      <c r="B271" s="14"/>
      <c r="C271" s="26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>
      <c r="A272" s="13"/>
      <c r="B272" s="14"/>
      <c r="C272" s="26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>
      <c r="A273" s="13"/>
      <c r="B273" s="14"/>
      <c r="C273" s="26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>
      <c r="A274" s="13"/>
      <c r="B274" s="14"/>
      <c r="C274" s="26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>
      <c r="A275" s="13"/>
      <c r="B275" s="14"/>
      <c r="C275" s="26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>
      <c r="A276" s="13"/>
      <c r="B276" s="14"/>
      <c r="C276" s="26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>
      <c r="A277" s="13"/>
      <c r="B277" s="14"/>
      <c r="C277" s="26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>
      <c r="A278" s="13"/>
      <c r="B278" s="14"/>
      <c r="C278" s="26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>
      <c r="A279" s="13"/>
      <c r="B279" s="14"/>
      <c r="C279" s="26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>
      <c r="A280" s="13"/>
      <c r="B280" s="14"/>
      <c r="C280" s="26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>
      <c r="A281" s="13"/>
      <c r="B281" s="14"/>
      <c r="C281" s="26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>
      <c r="A282" s="13"/>
      <c r="B282" s="14"/>
      <c r="C282" s="26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>
      <c r="A283" s="13"/>
      <c r="B283" s="14"/>
      <c r="C283" s="26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>
      <c r="A284" s="13"/>
      <c r="B284" s="14"/>
      <c r="C284" s="26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>
      <c r="A285" s="13"/>
      <c r="B285" s="14"/>
      <c r="C285" s="26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>
      <c r="A286" s="13"/>
      <c r="B286" s="14"/>
      <c r="C286" s="26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>
      <c r="A287" s="13"/>
      <c r="B287" s="14"/>
      <c r="C287" s="26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>
      <c r="A288" s="13"/>
      <c r="B288" s="14"/>
      <c r="C288" s="26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>
      <c r="A289" s="13"/>
      <c r="B289" s="14"/>
      <c r="C289" s="26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>
      <c r="A290" s="13"/>
      <c r="B290" s="14"/>
      <c r="C290" s="26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>
      <c r="A291" s="13"/>
      <c r="B291" s="14"/>
      <c r="C291" s="26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>
      <c r="A292" s="13"/>
      <c r="B292" s="14"/>
      <c r="C292" s="26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>
      <c r="A293" s="13"/>
      <c r="B293" s="14"/>
      <c r="C293" s="26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>
      <c r="A294" s="13"/>
      <c r="B294" s="14"/>
      <c r="C294" s="26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>
      <c r="A295" s="13"/>
      <c r="B295" s="14"/>
      <c r="C295" s="26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>
      <c r="A296" s="13"/>
      <c r="B296" s="14"/>
      <c r="C296" s="26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>
      <c r="A297" s="13"/>
      <c r="B297" s="14"/>
      <c r="C297" s="26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>
      <c r="A298" s="13"/>
      <c r="B298" s="14"/>
      <c r="C298" s="26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>
      <c r="A299" s="13"/>
      <c r="B299" s="14"/>
      <c r="C299" s="26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>
      <c r="A300" s="13"/>
      <c r="B300" s="14"/>
      <c r="C300" s="26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>
      <c r="A301" s="13"/>
      <c r="B301" s="14"/>
      <c r="C301" s="26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>
      <c r="A302" s="13"/>
      <c r="B302" s="14"/>
      <c r="C302" s="26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>
      <c r="A303" s="13"/>
      <c r="B303" s="14"/>
      <c r="C303" s="26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>
      <c r="A304" s="13"/>
      <c r="B304" s="14"/>
      <c r="C304" s="26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>
      <c r="A305" s="13"/>
      <c r="B305" s="14"/>
      <c r="C305" s="26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>
      <c r="A306" s="13"/>
      <c r="B306" s="14"/>
      <c r="C306" s="26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>
      <c r="A307" s="13"/>
      <c r="B307" s="14"/>
      <c r="C307" s="26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>
      <c r="A308" s="13"/>
      <c r="B308" s="14"/>
      <c r="C308" s="26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>
      <c r="A309" s="13"/>
      <c r="B309" s="14"/>
      <c r="C309" s="26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>
      <c r="A310" s="13"/>
      <c r="B310" s="14"/>
      <c r="C310" s="26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>
      <c r="A311" s="13"/>
      <c r="B311" s="14"/>
      <c r="C311" s="26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>
      <c r="A312" s="13"/>
      <c r="B312" s="14"/>
      <c r="C312" s="26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>
      <c r="A313" s="13"/>
      <c r="B313" s="14"/>
      <c r="C313" s="26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>
      <c r="A314" s="13"/>
      <c r="B314" s="14"/>
      <c r="C314" s="26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>
      <c r="A315" s="13"/>
      <c r="B315" s="14"/>
      <c r="C315" s="26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>
      <c r="A316" s="13"/>
      <c r="B316" s="14"/>
      <c r="C316" s="26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>
      <c r="A317" s="13"/>
      <c r="B317" s="14"/>
      <c r="C317" s="26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>
      <c r="A318" s="13"/>
      <c r="B318" s="14"/>
      <c r="C318" s="26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>
      <c r="A319" s="13"/>
      <c r="B319" s="14"/>
      <c r="C319" s="26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>
      <c r="A320" s="13"/>
      <c r="B320" s="14"/>
      <c r="C320" s="26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>
      <c r="A321" s="13"/>
      <c r="B321" s="14"/>
      <c r="C321" s="26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>
      <c r="A322" s="13"/>
      <c r="B322" s="14"/>
      <c r="C322" s="26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>
      <c r="A323" s="13"/>
      <c r="B323" s="14"/>
      <c r="C323" s="26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>
      <c r="A324" s="13"/>
      <c r="B324" s="14"/>
      <c r="C324" s="26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>
      <c r="A325" s="13"/>
      <c r="B325" s="14"/>
      <c r="C325" s="26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>
      <c r="A326" s="13"/>
      <c r="B326" s="14"/>
      <c r="C326" s="26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>
      <c r="A327" s="13"/>
      <c r="B327" s="14"/>
      <c r="C327" s="26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>
      <c r="A328" s="13"/>
      <c r="B328" s="14"/>
      <c r="C328" s="26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>
      <c r="A329" s="13"/>
      <c r="B329" s="14"/>
      <c r="C329" s="26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>
      <c r="A330" s="13"/>
      <c r="B330" s="14"/>
      <c r="C330" s="26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>
      <c r="A331" s="13"/>
      <c r="B331" s="14"/>
      <c r="C331" s="26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>
      <c r="A332" s="13"/>
      <c r="B332" s="14"/>
      <c r="C332" s="26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>
      <c r="A333" s="13"/>
      <c r="B333" s="14"/>
      <c r="C333" s="26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>
      <c r="A334" s="13"/>
      <c r="B334" s="14"/>
      <c r="C334" s="26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>
      <c r="A335" s="13"/>
      <c r="B335" s="14"/>
      <c r="C335" s="26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>
      <c r="A336" s="13"/>
      <c r="B336" s="14"/>
      <c r="C336" s="26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>
      <c r="A337" s="13"/>
      <c r="B337" s="14"/>
      <c r="C337" s="26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>
      <c r="A338" s="13"/>
      <c r="B338" s="14"/>
      <c r="C338" s="26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>
      <c r="A339" s="13"/>
      <c r="B339" s="14"/>
      <c r="C339" s="26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>
      <c r="A340" s="13"/>
      <c r="B340" s="14"/>
      <c r="C340" s="26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>
      <c r="A341" s="13"/>
      <c r="B341" s="14"/>
      <c r="C341" s="26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>
      <c r="A342" s="13"/>
      <c r="B342" s="14"/>
      <c r="C342" s="26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>
      <c r="A343" s="13"/>
      <c r="B343" s="14"/>
      <c r="C343" s="26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>
      <c r="A344" s="13"/>
      <c r="B344" s="14"/>
      <c r="C344" s="26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>
      <c r="A345" s="13"/>
      <c r="B345" s="14"/>
      <c r="C345" s="26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>
      <c r="A346" s="13"/>
      <c r="B346" s="14"/>
      <c r="C346" s="26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>
      <c r="A347" s="13"/>
      <c r="B347" s="14"/>
      <c r="C347" s="26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>
      <c r="A348" s="13"/>
      <c r="B348" s="14"/>
      <c r="C348" s="26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>
      <c r="A349" s="13"/>
      <c r="B349" s="14"/>
      <c r="C349" s="26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>
      <c r="A350" s="13"/>
      <c r="B350" s="14"/>
      <c r="C350" s="26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>
      <c r="A351" s="13"/>
      <c r="B351" s="14"/>
      <c r="C351" s="26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>
      <c r="A352" s="13"/>
      <c r="B352" s="14"/>
      <c r="C352" s="26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>
      <c r="A353" s="13"/>
      <c r="B353" s="14"/>
      <c r="C353" s="26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>
      <c r="A354" s="13"/>
      <c r="B354" s="14"/>
      <c r="C354" s="26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>
      <c r="A355" s="13"/>
      <c r="B355" s="14"/>
      <c r="C355" s="26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>
      <c r="A356" s="13"/>
      <c r="B356" s="14"/>
      <c r="C356" s="26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>
      <c r="A357" s="13"/>
      <c r="B357" s="14"/>
      <c r="C357" s="26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>
      <c r="A358" s="13"/>
      <c r="B358" s="14"/>
      <c r="C358" s="26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>
      <c r="A359" s="13"/>
      <c r="B359" s="14"/>
      <c r="C359" s="26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>
      <c r="A360" s="13"/>
      <c r="B360" s="14"/>
      <c r="C360" s="26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>
      <c r="A361" s="13"/>
      <c r="B361" s="14"/>
      <c r="C361" s="26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>
      <c r="A362" s="13"/>
      <c r="B362" s="14"/>
      <c r="C362" s="26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>
      <c r="A363" s="13"/>
      <c r="B363" s="14"/>
      <c r="C363" s="26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>
      <c r="A364" s="13"/>
      <c r="B364" s="14"/>
      <c r="C364" s="26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>
      <c r="A365" s="13"/>
      <c r="B365" s="14"/>
      <c r="C365" s="26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>
      <c r="A366" s="13"/>
      <c r="B366" s="14"/>
      <c r="C366" s="26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>
      <c r="A367" s="13"/>
      <c r="B367" s="14"/>
      <c r="C367" s="26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>
      <c r="A368" s="13"/>
      <c r="B368" s="14"/>
      <c r="C368" s="26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>
      <c r="A369" s="13"/>
      <c r="B369" s="14"/>
      <c r="C369" s="26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>
      <c r="A370" s="13"/>
      <c r="B370" s="14"/>
      <c r="C370" s="26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>
      <c r="A371" s="13"/>
      <c r="B371" s="14"/>
      <c r="C371" s="26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>
      <c r="A372" s="13"/>
      <c r="B372" s="14"/>
      <c r="C372" s="26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>
      <c r="A373" s="13"/>
      <c r="B373" s="14"/>
      <c r="C373" s="26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>
      <c r="A374" s="13"/>
      <c r="B374" s="14"/>
      <c r="C374" s="26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>
      <c r="A375" s="13"/>
      <c r="B375" s="14"/>
      <c r="C375" s="26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>
      <c r="A376" s="13"/>
      <c r="B376" s="14"/>
      <c r="C376" s="26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>
      <c r="A377" s="13"/>
      <c r="B377" s="14"/>
      <c r="C377" s="26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>
      <c r="A378" s="13"/>
      <c r="B378" s="14"/>
      <c r="C378" s="26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>
      <c r="A379" s="13"/>
      <c r="B379" s="14"/>
      <c r="C379" s="26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>
      <c r="A380" s="13"/>
      <c r="B380" s="14"/>
      <c r="C380" s="26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>
      <c r="A381" s="13"/>
      <c r="B381" s="14"/>
      <c r="C381" s="26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>
      <c r="A382" s="13"/>
      <c r="B382" s="14"/>
      <c r="C382" s="26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>
      <c r="A383" s="13"/>
      <c r="B383" s="14"/>
      <c r="C383" s="26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>
      <c r="A384" s="13"/>
      <c r="B384" s="14"/>
      <c r="C384" s="26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>
      <c r="A385" s="13"/>
      <c r="B385" s="14"/>
      <c r="C385" s="26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>
      <c r="A386" s="13"/>
      <c r="B386" s="14"/>
      <c r="C386" s="26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>
      <c r="A387" s="13"/>
      <c r="B387" s="14"/>
      <c r="C387" s="26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>
      <c r="A388" s="13"/>
      <c r="B388" s="14"/>
      <c r="C388" s="26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>
      <c r="A389" s="13"/>
      <c r="B389" s="14"/>
      <c r="C389" s="26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>
      <c r="A390" s="13"/>
      <c r="B390" s="14"/>
      <c r="C390" s="26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>
      <c r="A391" s="13"/>
      <c r="B391" s="14"/>
      <c r="C391" s="26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>
      <c r="A392" s="13"/>
      <c r="B392" s="14"/>
      <c r="C392" s="26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>
      <c r="A393" s="13"/>
      <c r="B393" s="14"/>
      <c r="C393" s="26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>
      <c r="A394" s="13"/>
      <c r="B394" s="14"/>
      <c r="C394" s="26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>
      <c r="A395" s="13"/>
      <c r="B395" s="14"/>
      <c r="C395" s="26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>
      <c r="A396" s="13"/>
      <c r="B396" s="14"/>
      <c r="C396" s="26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>
      <c r="A397" s="13"/>
      <c r="B397" s="14"/>
      <c r="C397" s="26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>
      <c r="A398" s="13"/>
      <c r="B398" s="14"/>
      <c r="C398" s="26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>
      <c r="A399" s="13"/>
      <c r="B399" s="14"/>
      <c r="C399" s="26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>
      <c r="A400" s="13"/>
      <c r="B400" s="14"/>
      <c r="C400" s="26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>
      <c r="A401" s="13"/>
      <c r="B401" s="14"/>
      <c r="C401" s="26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>
      <c r="A402" s="13"/>
      <c r="B402" s="14"/>
      <c r="C402" s="26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>
      <c r="A403" s="13"/>
      <c r="B403" s="14"/>
      <c r="C403" s="26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>
      <c r="A404" s="13"/>
      <c r="B404" s="14"/>
      <c r="C404" s="26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>
      <c r="A405" s="13"/>
      <c r="B405" s="14"/>
      <c r="C405" s="26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>
      <c r="A406" s="13"/>
      <c r="B406" s="14"/>
      <c r="C406" s="26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>
      <c r="A407" s="13"/>
      <c r="B407" s="14"/>
      <c r="C407" s="26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>
      <c r="A408" s="13"/>
      <c r="B408" s="14"/>
      <c r="C408" s="26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>
      <c r="A409" s="13"/>
      <c r="B409" s="14"/>
      <c r="C409" s="26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>
      <c r="A410" s="13"/>
      <c r="B410" s="14"/>
      <c r="C410" s="26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>
      <c r="A411" s="13"/>
      <c r="B411" s="14"/>
      <c r="C411" s="26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>
      <c r="A412" s="13"/>
      <c r="B412" s="14"/>
      <c r="C412" s="26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>
      <c r="A413" s="13"/>
      <c r="B413" s="14"/>
      <c r="C413" s="26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>
      <c r="A414" s="13"/>
      <c r="B414" s="14"/>
      <c r="C414" s="26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>
      <c r="A415" s="13"/>
      <c r="B415" s="14"/>
      <c r="C415" s="26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>
      <c r="A416" s="13"/>
      <c r="B416" s="14"/>
      <c r="C416" s="26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>
      <c r="A417" s="13"/>
      <c r="B417" s="14"/>
      <c r="C417" s="26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>
      <c r="A418" s="13"/>
      <c r="B418" s="14"/>
      <c r="C418" s="26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>
      <c r="A419" s="13"/>
      <c r="B419" s="14"/>
      <c r="C419" s="26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>
      <c r="A420" s="13"/>
      <c r="B420" s="14"/>
      <c r="C420" s="26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>
      <c r="A421" s="13"/>
      <c r="B421" s="14"/>
      <c r="C421" s="26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>
      <c r="A422" s="13"/>
      <c r="B422" s="14"/>
      <c r="C422" s="26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>
      <c r="A423" s="13"/>
      <c r="B423" s="14"/>
      <c r="C423" s="26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>
      <c r="A424" s="13"/>
      <c r="B424" s="14"/>
      <c r="C424" s="26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>
      <c r="A425" s="13"/>
      <c r="B425" s="14"/>
      <c r="C425" s="26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>
      <c r="A426" s="13"/>
      <c r="B426" s="14"/>
      <c r="C426" s="26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>
      <c r="A427" s="13"/>
      <c r="B427" s="14"/>
      <c r="C427" s="26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>
      <c r="A428" s="13"/>
      <c r="B428" s="14"/>
      <c r="C428" s="26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>
      <c r="A429" s="13"/>
      <c r="B429" s="14"/>
      <c r="C429" s="26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>
      <c r="A430" s="13"/>
      <c r="B430" s="14"/>
      <c r="C430" s="26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>
      <c r="A431" s="13"/>
      <c r="B431" s="14"/>
      <c r="C431" s="26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>
      <c r="A432" s="13"/>
      <c r="B432" s="14"/>
      <c r="C432" s="26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>
      <c r="A433" s="13"/>
      <c r="B433" s="14"/>
      <c r="C433" s="26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>
      <c r="A434" s="13"/>
      <c r="B434" s="14"/>
      <c r="C434" s="26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>
      <c r="A435" s="13"/>
      <c r="B435" s="14"/>
      <c r="C435" s="26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>
      <c r="A436" s="13"/>
      <c r="B436" s="14"/>
      <c r="C436" s="26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>
      <c r="A437" s="13"/>
      <c r="B437" s="14"/>
      <c r="C437" s="26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>
      <c r="A438" s="13"/>
      <c r="B438" s="14"/>
      <c r="C438" s="26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>
      <c r="A439" s="13"/>
      <c r="B439" s="14"/>
      <c r="C439" s="26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>
      <c r="A440" s="13"/>
      <c r="B440" s="14"/>
      <c r="C440" s="26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>
      <c r="A441" s="13"/>
      <c r="B441" s="14"/>
      <c r="C441" s="26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>
      <c r="A442" s="13"/>
      <c r="B442" s="14"/>
      <c r="C442" s="26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>
      <c r="A443" s="13"/>
      <c r="B443" s="14"/>
      <c r="C443" s="26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>
      <c r="A444" s="13"/>
      <c r="B444" s="14"/>
      <c r="C444" s="26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>
      <c r="A445" s="13"/>
      <c r="B445" s="14"/>
      <c r="C445" s="26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>
      <c r="A446" s="13"/>
      <c r="B446" s="14"/>
      <c r="C446" s="26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>
      <c r="A447" s="13"/>
      <c r="B447" s="14"/>
      <c r="C447" s="26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>
      <c r="A448" s="13"/>
      <c r="B448" s="14"/>
      <c r="C448" s="26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>
      <c r="A449" s="13"/>
      <c r="B449" s="14"/>
      <c r="C449" s="26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>
      <c r="A450" s="13"/>
      <c r="B450" s="14"/>
      <c r="C450" s="26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>
      <c r="A451" s="13"/>
      <c r="B451" s="14"/>
      <c r="C451" s="26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>
      <c r="A452" s="13"/>
      <c r="B452" s="14"/>
      <c r="C452" s="26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>
      <c r="A453" s="13"/>
      <c r="B453" s="14"/>
      <c r="C453" s="26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>
      <c r="A454" s="13"/>
      <c r="B454" s="14"/>
      <c r="C454" s="26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>
      <c r="A455" s="13"/>
      <c r="B455" s="14"/>
      <c r="C455" s="26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>
      <c r="A456" s="13"/>
      <c r="B456" s="14"/>
      <c r="C456" s="26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>
      <c r="A457" s="13"/>
      <c r="B457" s="14"/>
      <c r="C457" s="26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>
      <c r="A458" s="13"/>
      <c r="B458" s="14"/>
      <c r="C458" s="26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>
      <c r="A459" s="13"/>
      <c r="B459" s="14"/>
      <c r="C459" s="26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>
      <c r="A460" s="13"/>
      <c r="B460" s="14"/>
      <c r="C460" s="26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>
      <c r="A461" s="13"/>
      <c r="B461" s="14"/>
      <c r="C461" s="26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>
      <c r="A462" s="13"/>
      <c r="B462" s="14"/>
      <c r="C462" s="26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>
      <c r="A463" s="13"/>
      <c r="B463" s="14"/>
      <c r="C463" s="26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>
      <c r="A464" s="13"/>
      <c r="B464" s="14"/>
      <c r="C464" s="26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>
      <c r="A465" s="13"/>
      <c r="B465" s="14"/>
      <c r="C465" s="26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>
      <c r="A466" s="13"/>
      <c r="B466" s="14"/>
      <c r="C466" s="26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>
      <c r="A467" s="13"/>
      <c r="B467" s="14"/>
      <c r="C467" s="26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>
      <c r="A468" s="13"/>
      <c r="B468" s="14"/>
      <c r="C468" s="26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>
      <c r="A469" s="13"/>
      <c r="B469" s="14"/>
      <c r="C469" s="26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>
      <c r="A470" s="13"/>
      <c r="B470" s="14"/>
      <c r="C470" s="26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>
      <c r="A471" s="13"/>
      <c r="B471" s="14"/>
      <c r="C471" s="26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>
      <c r="A472" s="13"/>
      <c r="B472" s="14"/>
      <c r="C472" s="26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>
      <c r="A473" s="13"/>
      <c r="B473" s="14"/>
      <c r="C473" s="26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>
      <c r="A474" s="13"/>
      <c r="B474" s="14"/>
      <c r="C474" s="26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>
      <c r="A475" s="13"/>
      <c r="B475" s="14"/>
      <c r="C475" s="26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>
      <c r="A476" s="13"/>
      <c r="B476" s="14"/>
      <c r="C476" s="26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>
      <c r="A477" s="13"/>
      <c r="B477" s="14"/>
      <c r="C477" s="26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>
      <c r="A478" s="13"/>
      <c r="B478" s="14"/>
      <c r="C478" s="26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>
      <c r="A479" s="13"/>
      <c r="B479" s="14"/>
      <c r="C479" s="26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>
      <c r="A480" s="13"/>
      <c r="B480" s="14"/>
      <c r="C480" s="26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>
      <c r="A481" s="13"/>
      <c r="B481" s="14"/>
      <c r="C481" s="26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>
      <c r="A482" s="13"/>
      <c r="B482" s="14"/>
      <c r="C482" s="26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>
      <c r="A483" s="13"/>
      <c r="B483" s="14"/>
      <c r="C483" s="26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>
      <c r="A484" s="13"/>
      <c r="B484" s="14"/>
      <c r="C484" s="26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>
      <c r="A485" s="13"/>
      <c r="B485" s="14"/>
      <c r="C485" s="26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>
      <c r="A486" s="13"/>
      <c r="B486" s="14"/>
      <c r="C486" s="26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>
      <c r="A487" s="13"/>
      <c r="B487" s="14"/>
      <c r="C487" s="26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>
      <c r="A488" s="13"/>
      <c r="B488" s="14"/>
      <c r="C488" s="26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>
      <c r="A489" s="13"/>
      <c r="B489" s="14"/>
      <c r="C489" s="26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>
      <c r="A490" s="13"/>
      <c r="B490" s="14"/>
      <c r="C490" s="26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>
      <c r="A491" s="13"/>
      <c r="B491" s="14"/>
      <c r="C491" s="26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>
      <c r="A492" s="13"/>
      <c r="B492" s="14"/>
      <c r="C492" s="26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>
      <c r="A493" s="13"/>
      <c r="B493" s="14"/>
      <c r="C493" s="26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>
      <c r="A494" s="13"/>
      <c r="B494" s="14"/>
      <c r="C494" s="26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>
      <c r="A495" s="13"/>
      <c r="B495" s="14"/>
      <c r="C495" s="26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>
      <c r="A496" s="13"/>
      <c r="B496" s="14"/>
      <c r="C496" s="26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>
      <c r="A497" s="13"/>
      <c r="B497" s="14"/>
      <c r="C497" s="26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>
      <c r="A498" s="13"/>
      <c r="B498" s="14"/>
      <c r="C498" s="26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>
      <c r="A499" s="13"/>
      <c r="B499" s="14"/>
      <c r="C499" s="26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>
      <c r="A500" s="13"/>
      <c r="B500" s="14"/>
      <c r="C500" s="26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>
      <c r="A501" s="13"/>
      <c r="B501" s="14"/>
      <c r="C501" s="26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>
      <c r="A502" s="13"/>
      <c r="B502" s="14"/>
      <c r="C502" s="26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>
      <c r="A503" s="13"/>
      <c r="B503" s="14"/>
      <c r="C503" s="26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>
      <c r="A504" s="13"/>
      <c r="B504" s="14"/>
      <c r="C504" s="26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>
      <c r="A505" s="13"/>
      <c r="B505" s="14"/>
      <c r="C505" s="26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>
      <c r="A506" s="13"/>
      <c r="B506" s="14"/>
      <c r="C506" s="26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>
      <c r="A507" s="13"/>
      <c r="B507" s="14"/>
      <c r="C507" s="26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>
      <c r="A508" s="13"/>
      <c r="B508" s="14"/>
      <c r="C508" s="26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>
      <c r="A509" s="13"/>
      <c r="B509" s="14"/>
      <c r="C509" s="26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>
      <c r="A510" s="13"/>
      <c r="B510" s="14"/>
      <c r="C510" s="26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>
      <c r="A511" s="13"/>
      <c r="B511" s="14"/>
      <c r="C511" s="26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>
      <c r="A512" s="13"/>
      <c r="B512" s="14"/>
      <c r="C512" s="26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>
      <c r="A513" s="13"/>
      <c r="B513" s="14"/>
      <c r="C513" s="26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>
      <c r="A514" s="13"/>
      <c r="B514" s="14"/>
      <c r="C514" s="26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>
      <c r="A515" s="13"/>
      <c r="B515" s="14"/>
      <c r="C515" s="26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>
      <c r="A516" s="13"/>
      <c r="B516" s="14"/>
      <c r="C516" s="26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>
      <c r="A517" s="13"/>
      <c r="B517" s="14"/>
      <c r="C517" s="26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>
      <c r="A518" s="13"/>
      <c r="B518" s="14"/>
      <c r="C518" s="26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>
      <c r="A519" s="13"/>
      <c r="B519" s="14"/>
      <c r="C519" s="26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>
      <c r="A520" s="13"/>
      <c r="B520" s="14"/>
      <c r="C520" s="26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>
      <c r="A521" s="13"/>
      <c r="B521" s="14"/>
      <c r="C521" s="26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>
      <c r="A522" s="13"/>
      <c r="B522" s="14"/>
      <c r="C522" s="26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>
      <c r="A523" s="13"/>
      <c r="B523" s="14"/>
      <c r="C523" s="26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>
      <c r="A524" s="13"/>
      <c r="B524" s="14"/>
      <c r="C524" s="26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>
      <c r="A525" s="13"/>
      <c r="B525" s="14"/>
      <c r="C525" s="26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>
      <c r="A526" s="13"/>
      <c r="B526" s="14"/>
      <c r="C526" s="26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>
      <c r="A527" s="13"/>
      <c r="B527" s="14"/>
      <c r="C527" s="26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>
      <c r="A528" s="13"/>
      <c r="B528" s="14"/>
      <c r="C528" s="26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>
      <c r="A529" s="13"/>
      <c r="B529" s="14"/>
      <c r="C529" s="26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>
      <c r="A530" s="13"/>
      <c r="B530" s="14"/>
      <c r="C530" s="26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>
      <c r="A531" s="13"/>
      <c r="B531" s="14"/>
      <c r="C531" s="26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>
      <c r="A532" s="13"/>
      <c r="B532" s="14"/>
      <c r="C532" s="26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>
      <c r="A533" s="13"/>
      <c r="B533" s="14"/>
      <c r="C533" s="26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>
      <c r="A534" s="13"/>
      <c r="B534" s="14"/>
      <c r="C534" s="26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>
      <c r="A535" s="13"/>
      <c r="B535" s="14"/>
      <c r="C535" s="26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>
      <c r="A536" s="13"/>
      <c r="B536" s="14"/>
      <c r="C536" s="26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>
      <c r="A537" s="13"/>
      <c r="B537" s="14"/>
      <c r="C537" s="26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>
      <c r="A538" s="13"/>
      <c r="B538" s="14"/>
      <c r="C538" s="26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>
      <c r="A539" s="13"/>
      <c r="B539" s="14"/>
      <c r="C539" s="26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>
      <c r="A540" s="13"/>
      <c r="B540" s="14"/>
      <c r="C540" s="26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>
      <c r="A541" s="13"/>
      <c r="B541" s="14"/>
      <c r="C541" s="26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>
      <c r="A542" s="13"/>
      <c r="B542" s="14"/>
      <c r="C542" s="26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>
      <c r="A543" s="13"/>
      <c r="B543" s="14"/>
      <c r="C543" s="26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>
      <c r="A544" s="13"/>
      <c r="B544" s="14"/>
      <c r="C544" s="26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>
      <c r="A545" s="13"/>
      <c r="B545" s="14"/>
      <c r="C545" s="26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>
      <c r="A546" s="13"/>
      <c r="B546" s="14"/>
      <c r="C546" s="26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>
      <c r="A547" s="13"/>
      <c r="B547" s="14"/>
      <c r="C547" s="26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>
      <c r="A548" s="13"/>
      <c r="B548" s="14"/>
      <c r="C548" s="26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>
      <c r="A549" s="13"/>
      <c r="B549" s="14"/>
      <c r="C549" s="26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>
      <c r="A550" s="13"/>
      <c r="B550" s="14"/>
      <c r="C550" s="26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>
      <c r="A551" s="13"/>
      <c r="B551" s="14"/>
      <c r="C551" s="26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>
      <c r="A552" s="13"/>
      <c r="B552" s="14"/>
      <c r="C552" s="26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>
      <c r="A553" s="13"/>
      <c r="B553" s="14"/>
      <c r="C553" s="26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>
      <c r="A554" s="13"/>
      <c r="B554" s="14"/>
      <c r="C554" s="26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>
      <c r="A555" s="13"/>
      <c r="B555" s="14"/>
      <c r="C555" s="26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>
      <c r="A556" s="13"/>
      <c r="B556" s="14"/>
      <c r="C556" s="26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>
      <c r="A557" s="13"/>
      <c r="B557" s="14"/>
      <c r="C557" s="26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>
      <c r="A558" s="13"/>
      <c r="B558" s="14"/>
      <c r="C558" s="26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>
      <c r="A559" s="13"/>
      <c r="B559" s="14"/>
      <c r="C559" s="26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>
      <c r="A560" s="13"/>
      <c r="B560" s="14"/>
      <c r="C560" s="26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>
      <c r="A561" s="13"/>
      <c r="B561" s="14"/>
      <c r="C561" s="26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>
      <c r="A562" s="13"/>
      <c r="B562" s="14"/>
      <c r="C562" s="26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>
      <c r="A563" s="13"/>
      <c r="B563" s="14"/>
      <c r="C563" s="26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>
      <c r="A564" s="13"/>
      <c r="B564" s="14"/>
      <c r="C564" s="26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>
      <c r="A565" s="13"/>
      <c r="B565" s="14"/>
      <c r="C565" s="26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>
      <c r="A566" s="13"/>
      <c r="B566" s="14"/>
      <c r="C566" s="26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>
      <c r="A567" s="13"/>
      <c r="B567" s="14"/>
      <c r="C567" s="26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>
      <c r="A568" s="13"/>
      <c r="B568" s="14"/>
      <c r="C568" s="26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>
      <c r="A569" s="13"/>
      <c r="B569" s="14"/>
      <c r="C569" s="26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>
      <c r="A570" s="13"/>
      <c r="B570" s="14"/>
      <c r="C570" s="26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>
      <c r="A571" s="13"/>
      <c r="B571" s="14"/>
      <c r="C571" s="26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>
      <c r="A572" s="13"/>
      <c r="B572" s="14"/>
      <c r="C572" s="26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>
      <c r="A573" s="13"/>
      <c r="B573" s="14"/>
      <c r="C573" s="26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>
      <c r="A574" s="13"/>
      <c r="B574" s="14"/>
      <c r="C574" s="26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>
      <c r="A575" s="13"/>
      <c r="B575" s="14"/>
      <c r="C575" s="26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>
      <c r="A576" s="13"/>
      <c r="B576" s="14"/>
      <c r="C576" s="26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>
      <c r="A577" s="13"/>
      <c r="B577" s="14"/>
      <c r="C577" s="26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>
      <c r="A578" s="13"/>
      <c r="B578" s="14"/>
      <c r="C578" s="26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>
      <c r="A579" s="13"/>
      <c r="B579" s="14"/>
      <c r="C579" s="26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>
      <c r="A580" s="13"/>
      <c r="B580" s="14"/>
      <c r="C580" s="26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>
      <c r="A581" s="13"/>
      <c r="B581" s="14"/>
      <c r="C581" s="26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>
      <c r="A582" s="13"/>
      <c r="B582" s="14"/>
      <c r="C582" s="26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>
      <c r="A583" s="13"/>
      <c r="B583" s="14"/>
      <c r="C583" s="26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>
      <c r="A584" s="13"/>
      <c r="B584" s="14"/>
      <c r="C584" s="26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>
      <c r="A585" s="13"/>
      <c r="B585" s="14"/>
      <c r="C585" s="26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>
      <c r="A586" s="13"/>
      <c r="B586" s="14"/>
      <c r="C586" s="26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>
      <c r="A587" s="13"/>
      <c r="B587" s="14"/>
      <c r="C587" s="26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>
      <c r="A588" s="13"/>
      <c r="B588" s="14"/>
      <c r="C588" s="26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>
      <c r="A589" s="13"/>
      <c r="B589" s="14"/>
      <c r="C589" s="26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>
      <c r="A590" s="13"/>
      <c r="B590" s="14"/>
      <c r="C590" s="26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>
      <c r="A591" s="13"/>
      <c r="B591" s="14"/>
      <c r="C591" s="26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>
      <c r="A592" s="13"/>
      <c r="B592" s="14"/>
      <c r="C592" s="26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>
      <c r="A593" s="13"/>
      <c r="B593" s="14"/>
      <c r="C593" s="26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>
      <c r="A594" s="13"/>
      <c r="B594" s="14"/>
      <c r="C594" s="26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>
      <c r="A595" s="13"/>
      <c r="B595" s="14"/>
      <c r="C595" s="26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>
      <c r="A596" s="13"/>
      <c r="B596" s="14"/>
      <c r="C596" s="26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>
      <c r="A597" s="13"/>
      <c r="B597" s="14"/>
      <c r="C597" s="26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>
      <c r="A598" s="13"/>
      <c r="B598" s="14"/>
      <c r="C598" s="26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>
      <c r="A599" s="13"/>
      <c r="B599" s="14"/>
      <c r="C599" s="26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>
      <c r="A600" s="13"/>
      <c r="B600" s="14"/>
      <c r="C600" s="26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>
      <c r="A601" s="13"/>
      <c r="B601" s="14"/>
      <c r="C601" s="26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>
      <c r="A602" s="13"/>
      <c r="B602" s="14"/>
      <c r="C602" s="26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>
      <c r="A603" s="13"/>
      <c r="B603" s="14"/>
      <c r="C603" s="26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>
      <c r="A604" s="13"/>
      <c r="B604" s="14"/>
      <c r="C604" s="26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>
      <c r="A605" s="13"/>
      <c r="B605" s="14"/>
      <c r="C605" s="26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>
      <c r="A606" s="13"/>
      <c r="B606" s="14"/>
      <c r="C606" s="26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>
      <c r="A607" s="13"/>
      <c r="B607" s="14"/>
      <c r="C607" s="26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>
      <c r="A608" s="13"/>
      <c r="B608" s="14"/>
      <c r="C608" s="26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>
      <c r="A609" s="13"/>
      <c r="B609" s="14"/>
      <c r="C609" s="26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>
      <c r="A610" s="13"/>
      <c r="B610" s="14"/>
      <c r="C610" s="26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>
      <c r="A611" s="13"/>
      <c r="B611" s="14"/>
      <c r="C611" s="26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>
      <c r="A612" s="13"/>
      <c r="B612" s="14"/>
      <c r="C612" s="26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>
      <c r="A613" s="13"/>
      <c r="B613" s="14"/>
      <c r="C613" s="26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>
      <c r="A614" s="13"/>
      <c r="B614" s="14"/>
      <c r="C614" s="26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>
      <c r="A615" s="13"/>
      <c r="B615" s="14"/>
      <c r="C615" s="26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>
      <c r="A616" s="13"/>
      <c r="B616" s="14"/>
      <c r="C616" s="26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>
      <c r="A617" s="13"/>
      <c r="B617" s="14"/>
      <c r="C617" s="26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>
      <c r="A618" s="13"/>
      <c r="B618" s="14"/>
      <c r="C618" s="26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>
      <c r="A619" s="13"/>
      <c r="B619" s="14"/>
      <c r="C619" s="26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>
      <c r="A620" s="13"/>
      <c r="B620" s="14"/>
      <c r="C620" s="26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>
      <c r="A621" s="13"/>
      <c r="B621" s="14"/>
      <c r="C621" s="26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>
      <c r="A622" s="13"/>
      <c r="B622" s="14"/>
      <c r="C622" s="26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>
      <c r="A623" s="13"/>
      <c r="B623" s="14"/>
      <c r="C623" s="26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>
      <c r="A624" s="13"/>
      <c r="B624" s="14"/>
      <c r="C624" s="26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>
      <c r="A625" s="13"/>
      <c r="B625" s="14"/>
      <c r="C625" s="26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>
      <c r="A626" s="13"/>
      <c r="B626" s="14"/>
      <c r="C626" s="26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>
      <c r="A627" s="13"/>
      <c r="B627" s="14"/>
      <c r="C627" s="26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>
      <c r="A628" s="13"/>
      <c r="B628" s="14"/>
      <c r="C628" s="26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>
      <c r="A629" s="13"/>
      <c r="B629" s="14"/>
      <c r="C629" s="26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>
      <c r="A630" s="13"/>
      <c r="B630" s="14"/>
      <c r="C630" s="26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>
      <c r="A631" s="13"/>
      <c r="B631" s="14"/>
      <c r="C631" s="26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>
      <c r="A632" s="13"/>
      <c r="B632" s="14"/>
      <c r="C632" s="26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>
      <c r="A633" s="13"/>
      <c r="B633" s="14"/>
      <c r="C633" s="26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>
      <c r="A634" s="13"/>
      <c r="B634" s="14"/>
      <c r="C634" s="26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>
      <c r="A635" s="13"/>
      <c r="B635" s="14"/>
      <c r="C635" s="26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>
      <c r="A636" s="13"/>
      <c r="B636" s="14"/>
      <c r="C636" s="26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>
      <c r="A637" s="13"/>
      <c r="B637" s="14"/>
      <c r="C637" s="26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>
      <c r="A638" s="13"/>
      <c r="B638" s="14"/>
      <c r="C638" s="26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>
      <c r="A639" s="13"/>
      <c r="B639" s="14"/>
      <c r="C639" s="26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>
      <c r="A640" s="13"/>
      <c r="B640" s="14"/>
      <c r="C640" s="26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>
      <c r="A641" s="13"/>
      <c r="B641" s="14"/>
      <c r="C641" s="26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>
      <c r="A642" s="13"/>
      <c r="B642" s="14"/>
      <c r="C642" s="26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>
      <c r="A643" s="13"/>
      <c r="B643" s="14"/>
      <c r="C643" s="26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>
      <c r="A644" s="13"/>
      <c r="B644" s="14"/>
      <c r="C644" s="26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>
      <c r="A645" s="13"/>
      <c r="B645" s="14"/>
      <c r="C645" s="26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>
      <c r="A646" s="13"/>
      <c r="B646" s="14"/>
      <c r="C646" s="26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>
      <c r="A647" s="13"/>
      <c r="B647" s="14"/>
      <c r="C647" s="26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>
      <c r="A648" s="13"/>
      <c r="B648" s="14"/>
      <c r="C648" s="26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>
      <c r="A649" s="13"/>
      <c r="B649" s="14"/>
      <c r="C649" s="26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>
      <c r="A650" s="13"/>
      <c r="B650" s="14"/>
      <c r="C650" s="26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>
      <c r="A651" s="13"/>
      <c r="B651" s="14"/>
      <c r="C651" s="26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>
      <c r="A652" s="13"/>
      <c r="B652" s="14"/>
      <c r="C652" s="26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>
      <c r="A653" s="13"/>
      <c r="B653" s="14"/>
      <c r="C653" s="26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>
      <c r="A654" s="13"/>
      <c r="B654" s="14"/>
      <c r="C654" s="26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>
      <c r="A655" s="13"/>
      <c r="B655" s="14"/>
      <c r="C655" s="26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>
      <c r="A656" s="13"/>
      <c r="B656" s="14"/>
      <c r="C656" s="26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>
      <c r="A657" s="13"/>
      <c r="B657" s="14"/>
      <c r="C657" s="26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>
      <c r="A658" s="13"/>
      <c r="B658" s="14"/>
      <c r="C658" s="26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>
      <c r="A659" s="13"/>
      <c r="B659" s="14"/>
      <c r="C659" s="26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>
      <c r="A660" s="13"/>
      <c r="B660" s="14"/>
      <c r="C660" s="26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>
      <c r="A661" s="13"/>
      <c r="B661" s="14"/>
      <c r="C661" s="26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>
      <c r="A662" s="13"/>
      <c r="B662" s="14"/>
      <c r="C662" s="26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>
      <c r="A663" s="13"/>
      <c r="B663" s="14"/>
      <c r="C663" s="26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>
      <c r="A664" s="13"/>
      <c r="B664" s="14"/>
      <c r="C664" s="26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>
      <c r="A665" s="13"/>
      <c r="B665" s="14"/>
      <c r="C665" s="26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>
      <c r="A666" s="13"/>
      <c r="B666" s="14"/>
      <c r="C666" s="26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>
      <c r="A667" s="13"/>
      <c r="B667" s="14"/>
      <c r="C667" s="26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>
      <c r="A668" s="13"/>
      <c r="B668" s="14"/>
      <c r="C668" s="26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>
      <c r="A669" s="13"/>
      <c r="B669" s="14"/>
      <c r="C669" s="26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>
      <c r="A670" s="13"/>
      <c r="B670" s="14"/>
      <c r="C670" s="26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>
      <c r="A671" s="13"/>
      <c r="B671" s="14"/>
      <c r="C671" s="26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>
      <c r="A672" s="13"/>
      <c r="B672" s="14"/>
      <c r="C672" s="26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>
      <c r="A673" s="13"/>
      <c r="B673" s="14"/>
      <c r="C673" s="26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>
      <c r="A674" s="13"/>
      <c r="B674" s="14"/>
      <c r="C674" s="26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>
      <c r="A675" s="13"/>
      <c r="B675" s="14"/>
      <c r="C675" s="26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>
      <c r="A676" s="13"/>
      <c r="B676" s="14"/>
      <c r="C676" s="26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>
      <c r="A677" s="13"/>
      <c r="B677" s="14"/>
      <c r="C677" s="26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>
      <c r="A678" s="13"/>
      <c r="B678" s="14"/>
      <c r="C678" s="26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>
      <c r="A679" s="13"/>
      <c r="B679" s="14"/>
      <c r="C679" s="26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>
      <c r="A680" s="13"/>
      <c r="B680" s="14"/>
      <c r="C680" s="26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>
      <c r="A681" s="13"/>
      <c r="B681" s="14"/>
      <c r="C681" s="26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>
      <c r="A682" s="13"/>
      <c r="B682" s="14"/>
      <c r="C682" s="26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>
      <c r="A683" s="13"/>
      <c r="B683" s="14"/>
      <c r="C683" s="26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>
      <c r="A684" s="13"/>
      <c r="B684" s="14"/>
      <c r="C684" s="26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>
      <c r="A685" s="13"/>
      <c r="B685" s="14"/>
      <c r="C685" s="26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>
      <c r="A686" s="13"/>
      <c r="B686" s="14"/>
      <c r="C686" s="26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>
      <c r="A687" s="13"/>
      <c r="B687" s="14"/>
      <c r="C687" s="26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>
      <c r="A688" s="13"/>
      <c r="B688" s="14"/>
      <c r="C688" s="26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>
      <c r="A689" s="13"/>
      <c r="B689" s="14"/>
      <c r="C689" s="26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>
      <c r="A690" s="13"/>
      <c r="B690" s="14"/>
      <c r="C690" s="26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>
      <c r="A691" s="13"/>
      <c r="B691" s="14"/>
      <c r="C691" s="26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>
      <c r="A692" s="13"/>
      <c r="B692" s="14"/>
      <c r="C692" s="26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>
      <c r="A693" s="13"/>
      <c r="B693" s="14"/>
      <c r="C693" s="26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>
      <c r="A694" s="13"/>
      <c r="B694" s="14"/>
      <c r="C694" s="26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>
      <c r="A695" s="13"/>
      <c r="B695" s="14"/>
      <c r="C695" s="26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>
      <c r="A696" s="13"/>
      <c r="B696" s="14"/>
      <c r="C696" s="26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>
      <c r="A697" s="13"/>
      <c r="B697" s="14"/>
      <c r="C697" s="26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>
      <c r="A698" s="13"/>
      <c r="B698" s="14"/>
      <c r="C698" s="26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>
      <c r="A699" s="13"/>
      <c r="B699" s="14"/>
      <c r="C699" s="26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>
      <c r="A700" s="13"/>
      <c r="B700" s="14"/>
      <c r="C700" s="26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>
      <c r="A701" s="13"/>
      <c r="B701" s="14"/>
      <c r="C701" s="26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>
      <c r="A702" s="13"/>
      <c r="B702" s="14"/>
      <c r="C702" s="26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>
      <c r="A703" s="13"/>
      <c r="B703" s="14"/>
      <c r="C703" s="26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>
      <c r="A704" s="13"/>
      <c r="B704" s="14"/>
      <c r="C704" s="26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>
      <c r="A705" s="13"/>
      <c r="B705" s="14"/>
      <c r="C705" s="26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>
      <c r="A706" s="13"/>
      <c r="B706" s="14"/>
      <c r="C706" s="26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>
      <c r="A707" s="13"/>
      <c r="B707" s="14"/>
      <c r="C707" s="26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>
      <c r="A708" s="13"/>
      <c r="B708" s="14"/>
      <c r="C708" s="26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>
      <c r="A709" s="13"/>
      <c r="B709" s="14"/>
      <c r="C709" s="26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>
      <c r="A710" s="13"/>
      <c r="B710" s="14"/>
      <c r="C710" s="26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>
      <c r="A711" s="13"/>
      <c r="B711" s="14"/>
      <c r="C711" s="26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>
      <c r="A712" s="13"/>
      <c r="B712" s="14"/>
      <c r="C712" s="26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>
      <c r="A713" s="13"/>
      <c r="B713" s="14"/>
      <c r="C713" s="26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>
      <c r="A714" s="13"/>
      <c r="B714" s="14"/>
      <c r="C714" s="26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>
      <c r="A715" s="13"/>
      <c r="B715" s="14"/>
      <c r="C715" s="26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>
      <c r="A716" s="13"/>
      <c r="B716" s="14"/>
      <c r="C716" s="26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>
      <c r="A717" s="13"/>
      <c r="B717" s="14"/>
      <c r="C717" s="26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>
      <c r="A718" s="13"/>
      <c r="B718" s="14"/>
      <c r="C718" s="26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>
      <c r="A719" s="13"/>
      <c r="B719" s="14"/>
      <c r="C719" s="26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>
      <c r="A720" s="13"/>
      <c r="B720" s="14"/>
      <c r="C720" s="26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>
      <c r="A721" s="13"/>
      <c r="B721" s="14"/>
      <c r="C721" s="26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>
      <c r="A722" s="13"/>
      <c r="B722" s="14"/>
      <c r="C722" s="26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>
      <c r="A723" s="13"/>
      <c r="B723" s="14"/>
      <c r="C723" s="26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>
      <c r="A724" s="13"/>
      <c r="B724" s="14"/>
      <c r="C724" s="26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>
      <c r="A725" s="13"/>
      <c r="B725" s="14"/>
      <c r="C725" s="26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>
      <c r="A726" s="13"/>
      <c r="B726" s="14"/>
      <c r="C726" s="26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>
      <c r="A727" s="13"/>
      <c r="B727" s="14"/>
      <c r="C727" s="26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>
      <c r="A728" s="13"/>
      <c r="B728" s="14"/>
      <c r="C728" s="26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>
      <c r="A729" s="13"/>
      <c r="B729" s="14"/>
      <c r="C729" s="26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>
      <c r="A730" s="13"/>
      <c r="B730" s="14"/>
      <c r="C730" s="26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>
      <c r="A731" s="13"/>
      <c r="B731" s="14"/>
      <c r="C731" s="26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>
      <c r="A732" s="13"/>
      <c r="B732" s="14"/>
      <c r="C732" s="26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>
      <c r="A733" s="13"/>
      <c r="B733" s="14"/>
      <c r="C733" s="26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>
      <c r="A734" s="13"/>
      <c r="B734" s="14"/>
      <c r="C734" s="26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>
      <c r="A735" s="13"/>
      <c r="B735" s="14"/>
      <c r="C735" s="26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>
      <c r="A736" s="13"/>
      <c r="B736" s="14"/>
      <c r="C736" s="26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>
      <c r="A737" s="13"/>
      <c r="B737" s="14"/>
      <c r="C737" s="26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>
      <c r="A738" s="13"/>
      <c r="B738" s="14"/>
      <c r="C738" s="26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>
      <c r="A739" s="13"/>
      <c r="B739" s="14"/>
      <c r="C739" s="26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>
      <c r="A740" s="13"/>
      <c r="B740" s="14"/>
      <c r="C740" s="26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>
      <c r="A741" s="13"/>
      <c r="B741" s="14"/>
      <c r="C741" s="26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>
      <c r="A742" s="13"/>
      <c r="B742" s="14"/>
      <c r="C742" s="26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>
      <c r="A743" s="13"/>
      <c r="B743" s="14"/>
      <c r="C743" s="26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>
      <c r="A744" s="13"/>
      <c r="B744" s="14"/>
      <c r="C744" s="26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>
      <c r="A745" s="13"/>
      <c r="B745" s="14"/>
      <c r="C745" s="26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>
      <c r="A746" s="13"/>
      <c r="B746" s="14"/>
      <c r="C746" s="26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>
      <c r="A747" s="13"/>
      <c r="B747" s="14"/>
      <c r="C747" s="26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>
      <c r="A748" s="13"/>
      <c r="B748" s="14"/>
      <c r="C748" s="26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>
      <c r="A749" s="13"/>
      <c r="B749" s="14"/>
      <c r="C749" s="26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>
      <c r="A750" s="13"/>
      <c r="B750" s="14"/>
      <c r="C750" s="26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>
      <c r="A751" s="13"/>
      <c r="B751" s="14"/>
      <c r="C751" s="26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>
      <c r="A752" s="13"/>
      <c r="B752" s="14"/>
      <c r="C752" s="26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>
      <c r="A753" s="13"/>
      <c r="B753" s="14"/>
      <c r="C753" s="26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>
      <c r="A754" s="13"/>
      <c r="B754" s="14"/>
      <c r="C754" s="26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>
      <c r="A755" s="13"/>
      <c r="B755" s="14"/>
      <c r="C755" s="26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>
      <c r="A756" s="13"/>
      <c r="B756" s="14"/>
      <c r="C756" s="26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>
      <c r="A757" s="13"/>
      <c r="B757" s="14"/>
      <c r="C757" s="26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>
      <c r="A758" s="13"/>
      <c r="B758" s="14"/>
      <c r="C758" s="26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>
      <c r="A759" s="13"/>
      <c r="B759" s="14"/>
      <c r="C759" s="26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>
      <c r="A760" s="13"/>
      <c r="B760" s="14"/>
      <c r="C760" s="26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>
      <c r="A761" s="13"/>
      <c r="B761" s="14"/>
      <c r="C761" s="26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>
      <c r="A762" s="13"/>
      <c r="B762" s="14"/>
      <c r="C762" s="26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>
      <c r="A763" s="13"/>
      <c r="B763" s="14"/>
      <c r="C763" s="26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>
      <c r="A764" s="13"/>
      <c r="B764" s="14"/>
      <c r="C764" s="26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>
      <c r="A765" s="13"/>
      <c r="B765" s="14"/>
      <c r="C765" s="26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>
      <c r="A766" s="13"/>
      <c r="B766" s="14"/>
      <c r="C766" s="26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>
      <c r="A767" s="13"/>
      <c r="B767" s="14"/>
      <c r="C767" s="26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>
      <c r="A768" s="13"/>
      <c r="B768" s="14"/>
      <c r="C768" s="26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>
      <c r="A769" s="13"/>
      <c r="B769" s="14"/>
      <c r="C769" s="26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>
      <c r="A770" s="13"/>
      <c r="B770" s="14"/>
      <c r="C770" s="26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>
      <c r="A771" s="13"/>
      <c r="B771" s="14"/>
      <c r="C771" s="26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>
      <c r="A772" s="13"/>
      <c r="B772" s="14"/>
      <c r="C772" s="26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>
      <c r="A773" s="13"/>
      <c r="B773" s="14"/>
      <c r="C773" s="26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>
      <c r="A774" s="13"/>
      <c r="B774" s="14"/>
      <c r="C774" s="26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>
      <c r="A775" s="13"/>
      <c r="B775" s="14"/>
      <c r="C775" s="26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>
      <c r="A776" s="13"/>
      <c r="B776" s="14"/>
      <c r="C776" s="26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>
      <c r="A777" s="13"/>
      <c r="B777" s="14"/>
      <c r="C777" s="26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>
      <c r="A778" s="13"/>
      <c r="B778" s="14"/>
      <c r="C778" s="26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>
      <c r="A779" s="13"/>
      <c r="B779" s="14"/>
      <c r="C779" s="26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>
      <c r="A780" s="13"/>
      <c r="B780" s="14"/>
      <c r="C780" s="26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>
      <c r="A781" s="13"/>
      <c r="B781" s="14"/>
      <c r="C781" s="26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>
      <c r="A782" s="13"/>
      <c r="B782" s="14"/>
      <c r="C782" s="26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>
      <c r="A783" s="13"/>
      <c r="B783" s="14"/>
      <c r="C783" s="26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>
      <c r="A784" s="13"/>
      <c r="B784" s="14"/>
      <c r="C784" s="26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>
      <c r="A785" s="13"/>
      <c r="B785" s="14"/>
      <c r="C785" s="26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>
      <c r="A786" s="13"/>
      <c r="B786" s="14"/>
      <c r="C786" s="26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>
      <c r="A787" s="13"/>
      <c r="B787" s="14"/>
      <c r="C787" s="26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>
      <c r="A788" s="13"/>
      <c r="B788" s="14"/>
      <c r="C788" s="26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>
      <c r="A789" s="13"/>
      <c r="B789" s="14"/>
      <c r="C789" s="26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>
      <c r="A790" s="13"/>
      <c r="B790" s="14"/>
      <c r="C790" s="26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>
      <c r="A791" s="13"/>
      <c r="B791" s="14"/>
      <c r="C791" s="26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>
      <c r="A792" s="13"/>
      <c r="B792" s="14"/>
      <c r="C792" s="26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>
      <c r="A793" s="13"/>
      <c r="B793" s="14"/>
      <c r="C793" s="26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>
      <c r="A794" s="13"/>
      <c r="B794" s="14"/>
      <c r="C794" s="26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>
      <c r="A795" s="13"/>
      <c r="B795" s="14"/>
      <c r="C795" s="26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>
      <c r="A796" s="13"/>
      <c r="B796" s="14"/>
      <c r="C796" s="26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>
      <c r="A797" s="13"/>
      <c r="B797" s="14"/>
      <c r="C797" s="26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>
      <c r="A798" s="13"/>
      <c r="B798" s="14"/>
      <c r="C798" s="26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>
      <c r="A799" s="13"/>
      <c r="B799" s="14"/>
      <c r="C799" s="26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>
      <c r="A800" s="13"/>
      <c r="B800" s="14"/>
      <c r="C800" s="26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>
      <c r="A801" s="13"/>
      <c r="B801" s="14"/>
      <c r="C801" s="26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>
      <c r="A802" s="13"/>
      <c r="B802" s="14"/>
      <c r="C802" s="26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>
      <c r="A803" s="13"/>
      <c r="B803" s="14"/>
      <c r="C803" s="26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>
      <c r="A804" s="13"/>
      <c r="B804" s="14"/>
      <c r="C804" s="26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>
      <c r="A805" s="13"/>
      <c r="B805" s="14"/>
      <c r="C805" s="26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>
      <c r="A806" s="13"/>
      <c r="B806" s="14"/>
      <c r="C806" s="26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>
      <c r="A807" s="13"/>
      <c r="B807" s="14"/>
      <c r="C807" s="26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>
      <c r="A808" s="13"/>
      <c r="B808" s="14"/>
      <c r="C808" s="26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>
      <c r="A809" s="13"/>
      <c r="B809" s="14"/>
      <c r="C809" s="26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>
      <c r="A810" s="13"/>
      <c r="B810" s="14"/>
      <c r="C810" s="26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>
      <c r="A811" s="13"/>
      <c r="B811" s="14"/>
      <c r="C811" s="26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>
      <c r="A812" s="13"/>
      <c r="B812" s="14"/>
      <c r="C812" s="26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>
      <c r="A813" s="13"/>
      <c r="B813" s="14"/>
      <c r="C813" s="26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>
      <c r="A814" s="13"/>
      <c r="B814" s="14"/>
      <c r="C814" s="26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>
      <c r="A815" s="13"/>
      <c r="B815" s="14"/>
      <c r="C815" s="26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>
      <c r="A816" s="13"/>
      <c r="B816" s="14"/>
      <c r="C816" s="26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>
      <c r="A817" s="13"/>
      <c r="B817" s="14"/>
      <c r="C817" s="26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>
      <c r="A818" s="13"/>
      <c r="B818" s="14"/>
      <c r="C818" s="26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>
      <c r="A819" s="13"/>
      <c r="B819" s="14"/>
      <c r="C819" s="26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>
      <c r="A820" s="13"/>
      <c r="B820" s="14"/>
      <c r="C820" s="26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>
      <c r="A821" s="13"/>
      <c r="B821" s="14"/>
      <c r="C821" s="26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>
      <c r="A822" s="13"/>
      <c r="B822" s="14"/>
      <c r="C822" s="26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>
      <c r="A823" s="13"/>
      <c r="B823" s="14"/>
      <c r="C823" s="26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>
      <c r="A824" s="13"/>
      <c r="B824" s="14"/>
      <c r="C824" s="26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>
      <c r="A825" s="13"/>
      <c r="B825" s="14"/>
      <c r="C825" s="26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>
      <c r="A826" s="13"/>
      <c r="B826" s="14"/>
      <c r="C826" s="26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>
      <c r="A827" s="13"/>
      <c r="B827" s="14"/>
      <c r="C827" s="26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>
      <c r="A828" s="13"/>
      <c r="B828" s="14"/>
      <c r="C828" s="26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>
      <c r="A829" s="13"/>
      <c r="B829" s="14"/>
      <c r="C829" s="26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>
      <c r="A830" s="13"/>
      <c r="B830" s="14"/>
      <c r="C830" s="26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>
      <c r="A831" s="13"/>
      <c r="B831" s="14"/>
      <c r="C831" s="26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>
      <c r="A832" s="13"/>
      <c r="B832" s="14"/>
      <c r="C832" s="26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>
      <c r="A833" s="13"/>
      <c r="B833" s="14"/>
      <c r="C833" s="26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>
      <c r="A834" s="13"/>
      <c r="B834" s="14"/>
      <c r="C834" s="26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>
      <c r="A835" s="13"/>
      <c r="B835" s="14"/>
      <c r="C835" s="26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>
      <c r="A836" s="13"/>
      <c r="B836" s="14"/>
      <c r="C836" s="26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>
      <c r="A837" s="13"/>
      <c r="B837" s="14"/>
      <c r="C837" s="26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>
      <c r="A838" s="13"/>
      <c r="B838" s="14"/>
      <c r="C838" s="26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>
      <c r="A839" s="13"/>
      <c r="B839" s="14"/>
      <c r="C839" s="26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>
      <c r="A840" s="13"/>
      <c r="B840" s="14"/>
      <c r="C840" s="26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>
      <c r="A841" s="13"/>
      <c r="B841" s="14"/>
      <c r="C841" s="26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>
      <c r="A842" s="13"/>
      <c r="B842" s="14"/>
      <c r="C842" s="26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>
      <c r="A843" s="13"/>
      <c r="B843" s="14"/>
      <c r="C843" s="26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>
      <c r="A844" s="13"/>
      <c r="B844" s="14"/>
      <c r="C844" s="26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>
      <c r="A845" s="13"/>
      <c r="B845" s="14"/>
      <c r="C845" s="26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>
      <c r="A846" s="13"/>
      <c r="B846" s="14"/>
      <c r="C846" s="26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>
      <c r="A847" s="13"/>
      <c r="B847" s="14"/>
      <c r="C847" s="26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>
      <c r="A848" s="13"/>
      <c r="B848" s="14"/>
      <c r="C848" s="26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>
      <c r="A849" s="13"/>
      <c r="B849" s="14"/>
      <c r="C849" s="26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>
      <c r="A850" s="13"/>
      <c r="B850" s="14"/>
      <c r="C850" s="26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>
      <c r="A851" s="13"/>
      <c r="B851" s="14"/>
      <c r="C851" s="26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>
      <c r="A852" s="13"/>
      <c r="B852" s="14"/>
      <c r="C852" s="26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>
      <c r="A853" s="13"/>
      <c r="B853" s="14"/>
      <c r="C853" s="26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>
      <c r="A854" s="13"/>
      <c r="B854" s="14"/>
      <c r="C854" s="26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>
      <c r="A855" s="13"/>
      <c r="B855" s="14"/>
      <c r="C855" s="26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>
      <c r="A856" s="13"/>
      <c r="B856" s="14"/>
      <c r="C856" s="26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>
      <c r="A857" s="13"/>
      <c r="B857" s="14"/>
      <c r="C857" s="26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>
      <c r="A858" s="13"/>
      <c r="B858" s="14"/>
      <c r="C858" s="26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>
      <c r="A859" s="13"/>
      <c r="B859" s="14"/>
      <c r="C859" s="26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>
      <c r="A860" s="13"/>
      <c r="B860" s="14"/>
      <c r="C860" s="26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>
      <c r="A861" s="13"/>
      <c r="B861" s="14"/>
      <c r="C861" s="26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>
      <c r="A862" s="13"/>
      <c r="B862" s="14"/>
      <c r="C862" s="26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>
      <c r="A863" s="13"/>
      <c r="B863" s="14"/>
      <c r="C863" s="26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>
      <c r="A864" s="13"/>
      <c r="B864" s="14"/>
      <c r="C864" s="26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>
      <c r="A865" s="13"/>
      <c r="B865" s="14"/>
      <c r="C865" s="26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>
      <c r="A866" s="13"/>
      <c r="B866" s="14"/>
      <c r="C866" s="26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>
      <c r="A867" s="13"/>
      <c r="B867" s="14"/>
      <c r="C867" s="26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>
      <c r="A868" s="13"/>
      <c r="B868" s="14"/>
      <c r="C868" s="26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>
      <c r="A869" s="13"/>
      <c r="B869" s="14"/>
      <c r="C869" s="26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>
      <c r="A870" s="13"/>
      <c r="B870" s="14"/>
      <c r="C870" s="26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>
      <c r="A871" s="13"/>
      <c r="B871" s="14"/>
      <c r="C871" s="26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>
      <c r="A872" s="13"/>
      <c r="B872" s="14"/>
      <c r="C872" s="26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>
      <c r="A873" s="13"/>
      <c r="B873" s="14"/>
      <c r="C873" s="26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>
      <c r="A874" s="13"/>
      <c r="B874" s="14"/>
      <c r="C874" s="26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>
      <c r="A875" s="13"/>
      <c r="B875" s="14"/>
      <c r="C875" s="26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>
      <c r="A876" s="13"/>
      <c r="B876" s="14"/>
      <c r="C876" s="26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>
      <c r="A877" s="13"/>
      <c r="B877" s="14"/>
      <c r="C877" s="26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>
      <c r="A878" s="13"/>
      <c r="B878" s="14"/>
      <c r="C878" s="26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>
      <c r="A879" s="13"/>
      <c r="B879" s="14"/>
      <c r="C879" s="26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>
      <c r="A880" s="13"/>
      <c r="B880" s="14"/>
      <c r="C880" s="26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>
      <c r="A881" s="13"/>
      <c r="B881" s="14"/>
      <c r="C881" s="26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>
      <c r="A882" s="13"/>
      <c r="B882" s="14"/>
      <c r="C882" s="26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>
      <c r="A883" s="13"/>
      <c r="B883" s="14"/>
      <c r="C883" s="26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>
      <c r="A884" s="13"/>
      <c r="B884" s="14"/>
      <c r="C884" s="26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>
      <c r="A885" s="13"/>
      <c r="B885" s="14"/>
      <c r="C885" s="26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>
      <c r="A886" s="13"/>
      <c r="B886" s="14"/>
      <c r="C886" s="26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>
      <c r="A887" s="13"/>
      <c r="B887" s="14"/>
      <c r="C887" s="26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>
      <c r="A888" s="13"/>
      <c r="B888" s="14"/>
      <c r="C888" s="26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>
      <c r="A889" s="13"/>
      <c r="B889" s="14"/>
      <c r="C889" s="26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>
      <c r="A890" s="13"/>
      <c r="B890" s="14"/>
      <c r="C890" s="26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>
      <c r="A891" s="13"/>
      <c r="B891" s="14"/>
      <c r="C891" s="26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>
      <c r="A892" s="13"/>
      <c r="B892" s="14"/>
      <c r="C892" s="26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>
      <c r="A893" s="13"/>
      <c r="B893" s="14"/>
      <c r="C893" s="26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>
      <c r="A894" s="13"/>
      <c r="B894" s="14"/>
      <c r="C894" s="26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>
      <c r="A895" s="13"/>
      <c r="B895" s="14"/>
      <c r="C895" s="26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>
      <c r="A896" s="13"/>
      <c r="B896" s="14"/>
      <c r="C896" s="26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>
      <c r="A897" s="13"/>
      <c r="B897" s="14"/>
      <c r="C897" s="26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>
      <c r="A898" s="13"/>
      <c r="B898" s="14"/>
      <c r="C898" s="26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>
      <c r="A899" s="13"/>
      <c r="B899" s="14"/>
      <c r="C899" s="26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>
      <c r="A900" s="13"/>
      <c r="B900" s="14"/>
      <c r="C900" s="26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>
      <c r="A901" s="13"/>
      <c r="B901" s="14"/>
      <c r="C901" s="26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>
      <c r="A902" s="13"/>
      <c r="B902" s="14"/>
      <c r="C902" s="26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>
      <c r="A903" s="13"/>
      <c r="B903" s="14"/>
      <c r="C903" s="26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>
      <c r="A904" s="13"/>
      <c r="B904" s="14"/>
      <c r="C904" s="26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>
      <c r="A905" s="13"/>
      <c r="B905" s="14"/>
      <c r="C905" s="26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>
      <c r="A906" s="13"/>
      <c r="B906" s="14"/>
      <c r="C906" s="26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>
      <c r="A907" s="13"/>
      <c r="B907" s="14"/>
      <c r="C907" s="26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>
      <c r="A908" s="13"/>
      <c r="B908" s="14"/>
      <c r="C908" s="26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>
      <c r="A909" s="13"/>
      <c r="B909" s="14"/>
      <c r="C909" s="26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>
      <c r="A910" s="13"/>
      <c r="B910" s="14"/>
      <c r="C910" s="26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>
      <c r="A911" s="13"/>
      <c r="B911" s="14"/>
      <c r="C911" s="26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>
      <c r="A912" s="13"/>
      <c r="B912" s="14"/>
      <c r="C912" s="26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>
      <c r="A913" s="13"/>
      <c r="B913" s="14"/>
      <c r="C913" s="26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>
      <c r="A914" s="13"/>
      <c r="B914" s="14"/>
      <c r="C914" s="26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>
      <c r="A915" s="13"/>
      <c r="B915" s="14"/>
      <c r="C915" s="26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>
      <c r="A916" s="13"/>
      <c r="B916" s="14"/>
      <c r="C916" s="26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>
      <c r="A917" s="13"/>
      <c r="B917" s="14"/>
      <c r="C917" s="26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>
      <c r="A918" s="13"/>
      <c r="B918" s="14"/>
      <c r="C918" s="26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>
      <c r="A919" s="13"/>
      <c r="B919" s="14"/>
      <c r="C919" s="26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>
      <c r="A920" s="13"/>
      <c r="B920" s="14"/>
      <c r="C920" s="26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>
      <c r="A921" s="13"/>
      <c r="B921" s="14"/>
      <c r="C921" s="26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>
      <c r="A922" s="13"/>
      <c r="B922" s="14"/>
      <c r="C922" s="26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>
      <c r="A923" s="13"/>
      <c r="B923" s="14"/>
      <c r="C923" s="26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>
      <c r="A924" s="13"/>
      <c r="B924" s="14"/>
      <c r="C924" s="26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>
      <c r="A925" s="13"/>
      <c r="B925" s="14"/>
      <c r="C925" s="26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>
      <c r="A926" s="13"/>
      <c r="B926" s="14"/>
      <c r="C926" s="26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>
      <c r="A927" s="13"/>
      <c r="B927" s="14"/>
      <c r="C927" s="26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>
      <c r="A928" s="13"/>
      <c r="B928" s="14"/>
      <c r="C928" s="26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>
      <c r="A929" s="13"/>
      <c r="B929" s="14"/>
      <c r="C929" s="26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>
      <c r="A930" s="13"/>
      <c r="B930" s="14"/>
      <c r="C930" s="26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>
      <c r="A931" s="13"/>
      <c r="B931" s="14"/>
      <c r="C931" s="26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>
      <c r="A932" s="13"/>
      <c r="B932" s="14"/>
      <c r="C932" s="26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>
      <c r="A933" s="13"/>
      <c r="B933" s="14"/>
      <c r="C933" s="26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>
      <c r="A934" s="13"/>
      <c r="B934" s="14"/>
      <c r="C934" s="26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>
      <c r="A935" s="13"/>
      <c r="B935" s="14"/>
      <c r="C935" s="26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>
      <c r="A936" s="13"/>
      <c r="B936" s="14"/>
      <c r="C936" s="26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>
      <c r="A937" s="13"/>
      <c r="B937" s="14"/>
      <c r="C937" s="26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>
      <c r="A938" s="13"/>
      <c r="B938" s="14"/>
      <c r="C938" s="26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>
      <c r="A939" s="13"/>
      <c r="B939" s="14"/>
      <c r="C939" s="26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>
      <c r="A940" s="13"/>
      <c r="B940" s="14"/>
      <c r="C940" s="26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>
      <c r="A941" s="13"/>
      <c r="B941" s="14"/>
      <c r="C941" s="26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>
      <c r="A942" s="13"/>
      <c r="B942" s="14"/>
      <c r="C942" s="26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>
      <c r="A943" s="13"/>
      <c r="B943" s="14"/>
      <c r="C943" s="26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>
      <c r="A944" s="13"/>
      <c r="B944" s="14"/>
      <c r="C944" s="26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>
      <c r="A945" s="13"/>
      <c r="B945" s="14"/>
      <c r="C945" s="26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>
      <c r="A946" s="13"/>
      <c r="B946" s="14"/>
      <c r="C946" s="26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>
      <c r="A947" s="13"/>
      <c r="B947" s="14"/>
      <c r="C947" s="26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>
      <c r="A948" s="13"/>
      <c r="B948" s="14"/>
      <c r="C948" s="26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>
      <c r="A949" s="13"/>
      <c r="B949" s="14"/>
      <c r="C949" s="26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>
      <c r="A950" s="13"/>
      <c r="B950" s="14"/>
      <c r="C950" s="26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>
      <c r="A951" s="13"/>
      <c r="B951" s="14"/>
      <c r="C951" s="26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>
      <c r="A952" s="13"/>
      <c r="B952" s="14"/>
      <c r="C952" s="26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>
      <c r="A953" s="13"/>
      <c r="B953" s="14"/>
      <c r="C953" s="26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>
      <c r="A954" s="13"/>
      <c r="B954" s="14"/>
      <c r="C954" s="26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>
      <c r="A955" s="13"/>
      <c r="B955" s="14"/>
      <c r="C955" s="26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>
      <c r="A956" s="13"/>
      <c r="B956" s="14"/>
      <c r="C956" s="26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>
      <c r="A957" s="13"/>
      <c r="B957" s="14"/>
      <c r="C957" s="26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>
      <c r="A958" s="13"/>
      <c r="B958" s="14"/>
      <c r="C958" s="26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>
      <c r="A959" s="13"/>
      <c r="B959" s="14"/>
      <c r="C959" s="26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>
      <c r="A960" s="13"/>
      <c r="B960" s="14"/>
      <c r="C960" s="26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>
      <c r="A961" s="13"/>
      <c r="B961" s="14"/>
      <c r="C961" s="26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>
      <c r="A962" s="13"/>
      <c r="B962" s="14"/>
      <c r="C962" s="26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>
      <c r="A963" s="13"/>
      <c r="B963" s="14"/>
      <c r="C963" s="26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>
      <c r="A964" s="13"/>
      <c r="B964" s="14"/>
      <c r="C964" s="26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>
      <c r="A965" s="13"/>
      <c r="B965" s="14"/>
      <c r="C965" s="26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>
      <c r="A966" s="13"/>
      <c r="B966" s="14"/>
      <c r="C966" s="26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>
      <c r="A967" s="13"/>
      <c r="B967" s="14"/>
      <c r="C967" s="26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>
      <c r="A968" s="13"/>
      <c r="B968" s="14"/>
      <c r="C968" s="26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>
      <c r="A969" s="13"/>
      <c r="B969" s="14"/>
      <c r="C969" s="26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>
      <c r="A970" s="13"/>
      <c r="B970" s="14"/>
      <c r="C970" s="26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>
      <c r="A971" s="13"/>
      <c r="B971" s="14"/>
      <c r="C971" s="26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>
      <c r="A972" s="13"/>
      <c r="B972" s="14"/>
      <c r="C972" s="26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>
      <c r="A973" s="13"/>
      <c r="B973" s="14"/>
      <c r="C973" s="26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>
      <c r="A974" s="13"/>
      <c r="B974" s="14"/>
      <c r="C974" s="26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>
      <c r="A975" s="13"/>
      <c r="B975" s="14"/>
      <c r="C975" s="26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>
      <c r="A976" s="13"/>
      <c r="B976" s="14"/>
      <c r="C976" s="26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>
      <c r="A977" s="13"/>
      <c r="B977" s="14"/>
      <c r="C977" s="26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>
      <c r="A978" s="13"/>
      <c r="B978" s="14"/>
      <c r="C978" s="26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>
      <c r="A979" s="13"/>
      <c r="B979" s="14"/>
      <c r="C979" s="26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  <row r="980">
      <c r="A980" s="13"/>
      <c r="B980" s="14"/>
      <c r="C980" s="26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</row>
    <row r="981">
      <c r="A981" s="13"/>
      <c r="B981" s="14"/>
      <c r="C981" s="26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</row>
    <row r="982">
      <c r="A982" s="13"/>
      <c r="B982" s="14"/>
      <c r="C982" s="26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</row>
    <row r="983">
      <c r="A983" s="13"/>
      <c r="B983" s="14"/>
      <c r="C983" s="26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</row>
    <row r="984">
      <c r="A984" s="13"/>
      <c r="B984" s="14"/>
      <c r="C984" s="26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</row>
    <row r="985">
      <c r="A985" s="13"/>
      <c r="B985" s="14"/>
      <c r="C985" s="26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</row>
    <row r="986">
      <c r="A986" s="13"/>
      <c r="B986" s="14"/>
      <c r="C986" s="26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</row>
    <row r="987">
      <c r="A987" s="13"/>
      <c r="B987" s="14"/>
      <c r="C987" s="26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</row>
    <row r="988">
      <c r="A988" s="13"/>
      <c r="B988" s="14"/>
      <c r="C988" s="26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</row>
    <row r="989">
      <c r="A989" s="13"/>
      <c r="B989" s="14"/>
      <c r="C989" s="26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</row>
    <row r="990">
      <c r="A990" s="13"/>
      <c r="B990" s="14"/>
      <c r="C990" s="26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</row>
    <row r="991">
      <c r="A991" s="13"/>
      <c r="B991" s="14"/>
      <c r="C991" s="26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</row>
    <row r="992">
      <c r="A992" s="13"/>
      <c r="B992" s="14"/>
      <c r="C992" s="26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</row>
    <row r="993">
      <c r="A993" s="13"/>
      <c r="B993" s="14"/>
      <c r="C993" s="26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</row>
    <row r="994">
      <c r="A994" s="13"/>
      <c r="B994" s="14"/>
      <c r="C994" s="26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</row>
    <row r="995">
      <c r="A995" s="13"/>
      <c r="B995" s="14"/>
      <c r="C995" s="26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</row>
    <row r="996">
      <c r="A996" s="13"/>
      <c r="B996" s="14"/>
      <c r="C996" s="26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</row>
    <row r="997">
      <c r="A997" s="13"/>
      <c r="B997" s="14"/>
      <c r="C997" s="26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</row>
    <row r="998">
      <c r="A998" s="13"/>
      <c r="B998" s="14"/>
      <c r="C998" s="26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</row>
    <row r="999">
      <c r="A999" s="13"/>
      <c r="B999" s="14"/>
      <c r="C999" s="26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</row>
    <row r="1000">
      <c r="A1000" s="13"/>
      <c r="B1000" s="14"/>
      <c r="C1000" s="26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</row>
  </sheetData>
  <conditionalFormatting sqref="C2:C1000">
    <cfRule type="cellIs" dxfId="0" priority="1" operator="greaterThanOrEqual">
      <formula>3000</formula>
    </cfRule>
  </conditionalFormatting>
  <conditionalFormatting sqref="C2:C1000">
    <cfRule type="cellIs" dxfId="1" priority="2" operator="greaterThanOrEqual">
      <formula>2600</formula>
    </cfRule>
  </conditionalFormatting>
  <conditionalFormatting sqref="C2:C1000">
    <cfRule type="cellIs" dxfId="2" priority="3" operator="greaterThanOrEqual">
      <formula>2400</formula>
    </cfRule>
  </conditionalFormatting>
  <conditionalFormatting sqref="C2:C1000">
    <cfRule type="cellIs" dxfId="3" priority="4" operator="greaterThanOrEqual">
      <formula>2300</formula>
    </cfRule>
  </conditionalFormatting>
  <conditionalFormatting sqref="C2:C1000">
    <cfRule type="cellIs" dxfId="4" priority="5" operator="greaterThanOrEqual">
      <formula>2100</formula>
    </cfRule>
  </conditionalFormatting>
  <conditionalFormatting sqref="C2:C1000">
    <cfRule type="cellIs" dxfId="5" priority="6" operator="greaterThanOrEqual">
      <formula>1900</formula>
    </cfRule>
  </conditionalFormatting>
  <conditionalFormatting sqref="C2:C1000">
    <cfRule type="cellIs" dxfId="6" priority="7" operator="greaterThanOrEqual">
      <formula>1600</formula>
    </cfRule>
  </conditionalFormatting>
  <conditionalFormatting sqref="C2:C1000">
    <cfRule type="cellIs" dxfId="7" priority="8" operator="greaterThanOrEqual">
      <formula>1400</formula>
    </cfRule>
  </conditionalFormatting>
  <conditionalFormatting sqref="C2:C1000">
    <cfRule type="cellIs" dxfId="8" priority="9" operator="greaterThanOrEqual">
      <formula>1200</formula>
    </cfRule>
  </conditionalFormatting>
  <conditionalFormatting sqref="C2:C1000">
    <cfRule type="notContainsBlanks" dxfId="9" priority="10">
      <formula>LEN(TRIM(C2))&gt;0</formula>
    </cfRule>
  </conditionalFormatting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</hyperlinks>
  <drawing r:id="rId5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3" max="3" width="24.63"/>
  </cols>
  <sheetData>
    <row r="1">
      <c r="A1" s="13" t="s">
        <v>129</v>
      </c>
      <c r="B1" s="6" t="s">
        <v>243</v>
      </c>
      <c r="C1" s="1" t="s">
        <v>0</v>
      </c>
      <c r="D1" s="27" t="s">
        <v>244</v>
      </c>
      <c r="E1" s="28" t="s">
        <v>130</v>
      </c>
      <c r="F1" s="29" t="s">
        <v>245</v>
      </c>
      <c r="G1" s="30" t="s">
        <v>246</v>
      </c>
      <c r="H1" s="1" t="s">
        <v>3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3">
        <v>443.0</v>
      </c>
      <c r="B2" s="6">
        <v>44242.0</v>
      </c>
      <c r="C2" s="18" t="s">
        <v>132</v>
      </c>
      <c r="D2" s="27" t="s">
        <v>247</v>
      </c>
      <c r="E2" s="17">
        <v>2811.0</v>
      </c>
      <c r="F2" s="17">
        <v>1952.0</v>
      </c>
      <c r="G2" s="17">
        <f>F2 - 1500</f>
        <v>452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3">
        <v>704.0</v>
      </c>
      <c r="B3" s="6">
        <v>44250.0</v>
      </c>
      <c r="C3" s="18" t="s">
        <v>133</v>
      </c>
      <c r="D3" s="27" t="s">
        <v>248</v>
      </c>
      <c r="E3" s="17">
        <v>1965.0</v>
      </c>
      <c r="F3" s="17">
        <v>1955.0</v>
      </c>
      <c r="G3" s="26">
        <f t="shared" ref="G3:G58" si="1">F3 - F2</f>
        <v>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>
        <v>74.0</v>
      </c>
      <c r="B4" s="6">
        <v>44250.0</v>
      </c>
      <c r="C4" s="18" t="s">
        <v>135</v>
      </c>
      <c r="D4" s="27" t="s">
        <v>247</v>
      </c>
      <c r="E4" s="17">
        <v>2380.0</v>
      </c>
      <c r="F4" s="17">
        <v>1955.0</v>
      </c>
      <c r="G4" s="26">
        <f t="shared" si="1"/>
        <v>0</v>
      </c>
      <c r="H4" s="1" t="s">
        <v>249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" t="s">
        <v>137</v>
      </c>
      <c r="B5" s="6">
        <v>44258.0</v>
      </c>
      <c r="C5" s="18" t="s">
        <v>138</v>
      </c>
      <c r="D5" s="27" t="s">
        <v>247</v>
      </c>
      <c r="E5" s="17">
        <v>2630.0</v>
      </c>
      <c r="F5" s="17">
        <v>2142.0</v>
      </c>
      <c r="G5" s="26">
        <f t="shared" si="1"/>
        <v>187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">
        <v>505.0</v>
      </c>
      <c r="B6" s="6">
        <v>44259.0</v>
      </c>
      <c r="C6" s="18" t="s">
        <v>139</v>
      </c>
      <c r="D6" s="27" t="s">
        <v>247</v>
      </c>
      <c r="E6" s="17">
        <v>2703.0</v>
      </c>
      <c r="F6" s="17">
        <v>2290.0</v>
      </c>
      <c r="G6" s="26">
        <f t="shared" si="1"/>
        <v>148</v>
      </c>
      <c r="H6" s="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">
        <v>453.0</v>
      </c>
      <c r="B7" s="6">
        <v>44260.0</v>
      </c>
      <c r="C7" s="18" t="s">
        <v>140</v>
      </c>
      <c r="D7" s="27" t="s">
        <v>247</v>
      </c>
      <c r="E7" s="17">
        <v>2312.0</v>
      </c>
      <c r="F7" s="17">
        <v>2295.0</v>
      </c>
      <c r="G7" s="26">
        <f t="shared" si="1"/>
        <v>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>
        <v>406.0</v>
      </c>
      <c r="B8" s="6">
        <v>44260.0</v>
      </c>
      <c r="C8" s="18" t="s">
        <v>142</v>
      </c>
      <c r="D8" s="27" t="s">
        <v>247</v>
      </c>
      <c r="E8" s="17">
        <v>2219.0</v>
      </c>
      <c r="F8" s="17">
        <v>2278.0</v>
      </c>
      <c r="G8" s="26">
        <f t="shared" si="1"/>
        <v>-17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>
        <v>507.0</v>
      </c>
      <c r="B9" s="6">
        <v>44261.0</v>
      </c>
      <c r="C9" s="18" t="s">
        <v>144</v>
      </c>
      <c r="D9" s="27" t="s">
        <v>247</v>
      </c>
      <c r="E9" s="17">
        <v>2329.0</v>
      </c>
      <c r="F9" s="17">
        <v>2291.0</v>
      </c>
      <c r="G9" s="26">
        <f t="shared" si="1"/>
        <v>13</v>
      </c>
      <c r="H9" s="1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" t="s">
        <v>146</v>
      </c>
      <c r="B10" s="6">
        <v>44262.0</v>
      </c>
      <c r="C10" s="18" t="s">
        <v>147</v>
      </c>
      <c r="D10" s="27" t="s">
        <v>247</v>
      </c>
      <c r="E10" s="17">
        <v>2570.0</v>
      </c>
      <c r="F10" s="17">
        <v>2363.0</v>
      </c>
      <c r="G10" s="26">
        <f t="shared" si="1"/>
        <v>72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">
        <v>438.0</v>
      </c>
      <c r="B11" s="6">
        <v>44263.0</v>
      </c>
      <c r="C11" s="18" t="s">
        <v>148</v>
      </c>
      <c r="D11" s="27" t="s">
        <v>247</v>
      </c>
      <c r="E11" s="17">
        <v>2642.0</v>
      </c>
      <c r="F11" s="17">
        <v>2436.0</v>
      </c>
      <c r="G11" s="26">
        <f t="shared" si="1"/>
        <v>73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3">
        <v>706.0</v>
      </c>
      <c r="B12" s="6">
        <v>44267.0</v>
      </c>
      <c r="C12" s="18" t="s">
        <v>150</v>
      </c>
      <c r="D12" s="27" t="s">
        <v>247</v>
      </c>
      <c r="E12" s="17">
        <v>2514.0</v>
      </c>
      <c r="F12" s="17">
        <v>2456.0</v>
      </c>
      <c r="G12" s="26">
        <f t="shared" si="1"/>
        <v>20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3">
        <v>707.0</v>
      </c>
      <c r="B13" s="6">
        <v>44268.0</v>
      </c>
      <c r="C13" s="18" t="s">
        <v>152</v>
      </c>
      <c r="D13" s="27" t="s">
        <v>247</v>
      </c>
      <c r="E13" s="17">
        <v>2477.0</v>
      </c>
      <c r="F13" s="17">
        <v>2461.0</v>
      </c>
      <c r="G13" s="26">
        <f t="shared" si="1"/>
        <v>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3">
        <v>709.0</v>
      </c>
      <c r="B14" s="6">
        <v>44277.0</v>
      </c>
      <c r="C14" s="18" t="s">
        <v>154</v>
      </c>
      <c r="D14" s="27" t="s">
        <v>247</v>
      </c>
      <c r="E14" s="17">
        <v>2921.0</v>
      </c>
      <c r="F14" s="17">
        <v>2583.0</v>
      </c>
      <c r="G14" s="26">
        <f t="shared" si="1"/>
        <v>122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0">
        <v>718.0</v>
      </c>
      <c r="B15" s="6">
        <v>44309.0</v>
      </c>
      <c r="C15" s="7" t="s">
        <v>155</v>
      </c>
      <c r="D15" s="27" t="s">
        <v>247</v>
      </c>
      <c r="E15" s="17">
        <v>2571.0</v>
      </c>
      <c r="F15" s="17">
        <v>2580.0</v>
      </c>
      <c r="G15" s="26">
        <f t="shared" si="1"/>
        <v>-3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0" t="s">
        <v>156</v>
      </c>
      <c r="B16" s="6">
        <v>44370.0</v>
      </c>
      <c r="C16" s="7" t="s">
        <v>157</v>
      </c>
      <c r="D16" s="27" t="s">
        <v>247</v>
      </c>
      <c r="E16" s="17">
        <v>2703.0</v>
      </c>
      <c r="F16" s="17">
        <v>2612.0</v>
      </c>
      <c r="G16" s="26">
        <f t="shared" si="1"/>
        <v>32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0">
        <v>728.0</v>
      </c>
      <c r="B17" s="6">
        <v>44383.0</v>
      </c>
      <c r="C17" s="7" t="s">
        <v>158</v>
      </c>
      <c r="D17" s="27" t="s">
        <v>247</v>
      </c>
      <c r="E17" s="17">
        <v>2556.0</v>
      </c>
      <c r="F17" s="17">
        <v>2600.0</v>
      </c>
      <c r="G17" s="26">
        <f t="shared" si="1"/>
        <v>-12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0">
        <v>722.0</v>
      </c>
      <c r="B18" s="6">
        <v>44851.0</v>
      </c>
      <c r="C18" s="7" t="s">
        <v>159</v>
      </c>
      <c r="D18" s="27" t="s">
        <v>247</v>
      </c>
      <c r="E18" s="17">
        <v>2474.0</v>
      </c>
      <c r="F18" s="17">
        <v>2569.0</v>
      </c>
      <c r="G18" s="26">
        <f t="shared" si="1"/>
        <v>-31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0">
        <v>831.0</v>
      </c>
      <c r="B19" s="6">
        <v>44863.0</v>
      </c>
      <c r="C19" s="7" t="s">
        <v>160</v>
      </c>
      <c r="D19" s="27" t="s">
        <v>247</v>
      </c>
      <c r="E19" s="17">
        <v>2528.0</v>
      </c>
      <c r="F19" s="17">
        <v>2559.0</v>
      </c>
      <c r="G19" s="26">
        <f t="shared" si="1"/>
        <v>-10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0">
        <v>865.0</v>
      </c>
      <c r="B20" s="6">
        <v>45026.0</v>
      </c>
      <c r="C20" s="7" t="s">
        <v>161</v>
      </c>
      <c r="D20" s="27" t="s">
        <v>247</v>
      </c>
      <c r="E20" s="17">
        <v>2579.0</v>
      </c>
      <c r="F20" s="17">
        <v>2563.0</v>
      </c>
      <c r="G20" s="26">
        <f t="shared" si="1"/>
        <v>4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0" t="s">
        <v>163</v>
      </c>
      <c r="B21" s="6">
        <v>45029.0</v>
      </c>
      <c r="C21" s="7" t="s">
        <v>164</v>
      </c>
      <c r="D21" s="27" t="s">
        <v>247</v>
      </c>
      <c r="E21" s="17">
        <v>2545.0</v>
      </c>
      <c r="F21" s="17">
        <v>2559.0</v>
      </c>
      <c r="G21" s="26">
        <f t="shared" si="1"/>
        <v>-4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0">
        <v>866.0</v>
      </c>
      <c r="B22" s="6">
        <v>45033.0</v>
      </c>
      <c r="C22" s="7" t="s">
        <v>166</v>
      </c>
      <c r="D22" s="27" t="s">
        <v>247</v>
      </c>
      <c r="E22" s="17">
        <v>2298.0</v>
      </c>
      <c r="F22" s="17">
        <v>2497.0</v>
      </c>
      <c r="G22" s="26">
        <f t="shared" si="1"/>
        <v>-62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0" t="s">
        <v>168</v>
      </c>
      <c r="B23" s="6">
        <v>45041.0</v>
      </c>
      <c r="C23" s="7" t="s">
        <v>169</v>
      </c>
      <c r="D23" s="27" t="s">
        <v>247</v>
      </c>
      <c r="E23" s="17">
        <v>2700.0</v>
      </c>
      <c r="F23" s="17">
        <v>2549.0</v>
      </c>
      <c r="G23" s="26">
        <f t="shared" si="1"/>
        <v>52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0" t="s">
        <v>171</v>
      </c>
      <c r="B24" s="6">
        <v>45044.0</v>
      </c>
      <c r="C24" s="7" t="s">
        <v>172</v>
      </c>
      <c r="D24" s="27" t="s">
        <v>247</v>
      </c>
      <c r="E24" s="17">
        <v>2871.0</v>
      </c>
      <c r="F24" s="17">
        <v>2631.0</v>
      </c>
      <c r="G24" s="26">
        <f t="shared" si="1"/>
        <v>82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0" t="s">
        <v>174</v>
      </c>
      <c r="B25" s="6">
        <v>45047.0</v>
      </c>
      <c r="C25" s="7" t="s">
        <v>175</v>
      </c>
      <c r="D25" s="27" t="s">
        <v>247</v>
      </c>
      <c r="E25" s="17">
        <v>2392.0</v>
      </c>
      <c r="F25" s="17">
        <v>2574.0</v>
      </c>
      <c r="G25" s="26">
        <f t="shared" si="1"/>
        <v>-57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0" t="s">
        <v>178</v>
      </c>
      <c r="B26" s="6">
        <v>45049.0</v>
      </c>
      <c r="C26" s="7" t="s">
        <v>179</v>
      </c>
      <c r="D26" s="27" t="s">
        <v>247</v>
      </c>
      <c r="E26" s="17">
        <v>2700.0</v>
      </c>
      <c r="F26" s="17">
        <v>2607.0</v>
      </c>
      <c r="G26" s="26">
        <f t="shared" si="1"/>
        <v>33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1">
        <v>872.0</v>
      </c>
      <c r="B27" s="6">
        <v>45054.0</v>
      </c>
      <c r="C27" s="22" t="s">
        <v>181</v>
      </c>
      <c r="D27" s="27" t="s">
        <v>247</v>
      </c>
      <c r="E27" s="17">
        <v>2845.0</v>
      </c>
      <c r="F27" s="17">
        <v>2669.0</v>
      </c>
      <c r="G27" s="26">
        <f t="shared" si="1"/>
        <v>62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1">
        <v>884.0</v>
      </c>
      <c r="B28" s="6">
        <v>45127.0</v>
      </c>
      <c r="C28" s="22" t="s">
        <v>183</v>
      </c>
      <c r="D28" s="27" t="s">
        <v>247</v>
      </c>
      <c r="E28" s="17">
        <v>2592.0</v>
      </c>
      <c r="F28" s="17">
        <v>2651.0</v>
      </c>
      <c r="G28" s="26">
        <f t="shared" si="1"/>
        <v>-18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1">
        <v>814.0</v>
      </c>
      <c r="B29" s="6">
        <v>45129.0</v>
      </c>
      <c r="C29" s="22" t="s">
        <v>185</v>
      </c>
      <c r="D29" s="27" t="s">
        <v>247</v>
      </c>
      <c r="E29" s="17">
        <v>2728.0</v>
      </c>
      <c r="F29" s="17">
        <v>2672.0</v>
      </c>
      <c r="G29" s="26">
        <f t="shared" si="1"/>
        <v>21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1">
        <v>887.0</v>
      </c>
      <c r="B30" s="6">
        <v>45130.0</v>
      </c>
      <c r="C30" s="22" t="s">
        <v>187</v>
      </c>
      <c r="D30" s="27" t="s">
        <v>247</v>
      </c>
      <c r="E30" s="17">
        <v>3115.0</v>
      </c>
      <c r="F30" s="17">
        <v>2784.0</v>
      </c>
      <c r="G30" s="26">
        <f t="shared" si="1"/>
        <v>112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1">
        <v>889.0</v>
      </c>
      <c r="B31" s="6">
        <v>45149.0</v>
      </c>
      <c r="C31" s="22" t="s">
        <v>189</v>
      </c>
      <c r="D31" s="27" t="s">
        <v>247</v>
      </c>
      <c r="E31" s="17">
        <v>2717.0</v>
      </c>
      <c r="F31" s="17">
        <v>2768.0</v>
      </c>
      <c r="G31" s="26">
        <f t="shared" si="1"/>
        <v>-16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1">
        <v>808.0</v>
      </c>
      <c r="B32" s="6">
        <v>45150.0</v>
      </c>
      <c r="C32" s="22" t="s">
        <v>191</v>
      </c>
      <c r="D32" s="27" t="s">
        <v>247</v>
      </c>
      <c r="E32" s="17">
        <v>2879.0</v>
      </c>
      <c r="F32" s="17">
        <v>2796.0</v>
      </c>
      <c r="G32" s="26">
        <f t="shared" si="1"/>
        <v>28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1" t="s">
        <v>193</v>
      </c>
      <c r="B33" s="6">
        <v>45151.0</v>
      </c>
      <c r="C33" s="22" t="s">
        <v>194</v>
      </c>
      <c r="D33" s="27" t="s">
        <v>247</v>
      </c>
      <c r="E33" s="17">
        <v>2538.0</v>
      </c>
      <c r="F33" s="17">
        <v>2733.0</v>
      </c>
      <c r="G33" s="26">
        <f t="shared" si="1"/>
        <v>-63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1">
        <v>800.0</v>
      </c>
      <c r="B34" s="6">
        <v>45152.0</v>
      </c>
      <c r="C34" s="22" t="s">
        <v>196</v>
      </c>
      <c r="D34" s="27" t="s">
        <v>247</v>
      </c>
      <c r="E34" s="17">
        <v>2995.0</v>
      </c>
      <c r="F34" s="17">
        <v>2800.0</v>
      </c>
      <c r="G34" s="26">
        <f t="shared" si="1"/>
        <v>67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1" t="s">
        <v>198</v>
      </c>
      <c r="B35" s="6">
        <v>45180.0</v>
      </c>
      <c r="C35" s="22" t="s">
        <v>199</v>
      </c>
      <c r="D35" s="27" t="s">
        <v>247</v>
      </c>
      <c r="E35" s="17">
        <v>2694.0</v>
      </c>
      <c r="F35" s="17">
        <v>2773.0</v>
      </c>
      <c r="G35" s="26">
        <f t="shared" si="1"/>
        <v>-27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1">
        <v>796.0</v>
      </c>
      <c r="B36" s="6">
        <v>45181.0</v>
      </c>
      <c r="C36" s="22" t="s">
        <v>201</v>
      </c>
      <c r="D36" s="27" t="s">
        <v>247</v>
      </c>
      <c r="E36" s="17">
        <v>2243.0</v>
      </c>
      <c r="F36" s="17">
        <v>2648.0</v>
      </c>
      <c r="G36" s="26">
        <f t="shared" si="1"/>
        <v>-125</v>
      </c>
      <c r="H36" s="1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1">
        <v>896.0</v>
      </c>
      <c r="B37" s="6">
        <v>45181.0</v>
      </c>
      <c r="C37" s="22" t="s">
        <v>203</v>
      </c>
      <c r="D37" s="27" t="s">
        <v>247</v>
      </c>
      <c r="E37" s="17">
        <v>3334.0</v>
      </c>
      <c r="F37" s="17">
        <v>2825.0</v>
      </c>
      <c r="G37" s="26">
        <f t="shared" si="1"/>
        <v>177</v>
      </c>
      <c r="H37" s="1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1" t="s">
        <v>205</v>
      </c>
      <c r="B38" s="6">
        <v>45182.0</v>
      </c>
      <c r="C38" s="24" t="s">
        <v>206</v>
      </c>
      <c r="D38" s="27" t="s">
        <v>247</v>
      </c>
      <c r="E38" s="17">
        <v>2888.0</v>
      </c>
      <c r="F38" s="17">
        <v>2842.0</v>
      </c>
      <c r="G38" s="26">
        <f t="shared" si="1"/>
        <v>17</v>
      </c>
      <c r="H38" s="1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1" t="s">
        <v>208</v>
      </c>
      <c r="B39" s="6">
        <v>45189.0</v>
      </c>
      <c r="C39" s="22" t="s">
        <v>209</v>
      </c>
      <c r="D39" s="27" t="s">
        <v>247</v>
      </c>
      <c r="E39" s="17">
        <v>2835.0</v>
      </c>
      <c r="F39" s="17">
        <v>2842.0</v>
      </c>
      <c r="G39" s="26">
        <f t="shared" si="1"/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1">
        <v>794.0</v>
      </c>
      <c r="B40" s="6">
        <v>45196.0</v>
      </c>
      <c r="C40" s="22" t="s">
        <v>211</v>
      </c>
      <c r="D40" s="27" t="s">
        <v>247</v>
      </c>
      <c r="E40" s="17">
        <v>2525.0</v>
      </c>
      <c r="F40" s="17">
        <v>2765.0</v>
      </c>
      <c r="G40" s="26">
        <f t="shared" si="1"/>
        <v>-77</v>
      </c>
      <c r="H40" s="1"/>
      <c r="I40" s="1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1">
        <v>792.0</v>
      </c>
      <c r="B41" s="6">
        <v>45197.0</v>
      </c>
      <c r="C41" s="22" t="s">
        <v>213</v>
      </c>
      <c r="D41" s="27" t="s">
        <v>247</v>
      </c>
      <c r="E41" s="17">
        <v>2649.0</v>
      </c>
      <c r="F41" s="17">
        <v>2737.0</v>
      </c>
      <c r="G41" s="26">
        <f t="shared" si="1"/>
        <v>-28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1">
        <v>789.0</v>
      </c>
      <c r="B42" s="6">
        <v>45197.0</v>
      </c>
      <c r="C42" s="22" t="s">
        <v>215</v>
      </c>
      <c r="D42" s="27" t="s">
        <v>247</v>
      </c>
      <c r="E42" s="17">
        <v>2811.0</v>
      </c>
      <c r="F42" s="17">
        <v>2756.0</v>
      </c>
      <c r="G42" s="26">
        <f t="shared" si="1"/>
        <v>19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1">
        <v>783.0</v>
      </c>
      <c r="B43" s="6">
        <v>45198.0</v>
      </c>
      <c r="C43" s="22" t="s">
        <v>217</v>
      </c>
      <c r="D43" s="27" t="s">
        <v>247</v>
      </c>
      <c r="E43" s="17">
        <v>3038.0</v>
      </c>
      <c r="F43" s="17">
        <v>2828.0</v>
      </c>
      <c r="G43" s="26">
        <f t="shared" si="1"/>
        <v>72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1">
        <v>902.0</v>
      </c>
      <c r="B44" s="6">
        <v>45247.0</v>
      </c>
      <c r="C44" s="22" t="s">
        <v>219</v>
      </c>
      <c r="D44" s="27" t="s">
        <v>247</v>
      </c>
      <c r="E44" s="17">
        <v>2753.0</v>
      </c>
      <c r="F44" s="31">
        <v>2810.0</v>
      </c>
      <c r="G44" s="32">
        <f t="shared" si="1"/>
        <v>-18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1">
        <v>906.0</v>
      </c>
      <c r="B45" s="6">
        <v>45248.0</v>
      </c>
      <c r="C45" s="22" t="s">
        <v>221</v>
      </c>
      <c r="D45" s="27" t="s">
        <v>247</v>
      </c>
      <c r="E45" s="31">
        <v>3006.0</v>
      </c>
      <c r="F45" s="31">
        <v>2861.0</v>
      </c>
      <c r="G45" s="32">
        <f t="shared" si="1"/>
        <v>51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1">
        <v>908.0</v>
      </c>
      <c r="B46" s="6">
        <v>45249.0</v>
      </c>
      <c r="C46" s="25" t="s">
        <v>223</v>
      </c>
      <c r="D46" s="27" t="s">
        <v>247</v>
      </c>
      <c r="E46" s="31">
        <v>3305.0</v>
      </c>
      <c r="F46" s="31">
        <v>2974.0</v>
      </c>
      <c r="G46" s="32">
        <f t="shared" si="1"/>
        <v>113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3" t="s">
        <v>225</v>
      </c>
      <c r="B47" s="6">
        <v>45266.0</v>
      </c>
      <c r="C47" s="4" t="s">
        <v>226</v>
      </c>
      <c r="D47" s="27" t="s">
        <v>247</v>
      </c>
      <c r="E47" s="17">
        <v>2450.0</v>
      </c>
      <c r="F47" s="31">
        <v>2845.0</v>
      </c>
      <c r="G47" s="32">
        <f t="shared" si="1"/>
        <v>-129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3">
        <v>901.0</v>
      </c>
      <c r="B48" s="6">
        <v>45267.0</v>
      </c>
      <c r="C48" s="4" t="s">
        <v>227</v>
      </c>
      <c r="D48" s="27" t="s">
        <v>247</v>
      </c>
      <c r="E48" s="17">
        <v>2641.0</v>
      </c>
      <c r="F48" s="31">
        <v>2794.0</v>
      </c>
      <c r="G48" s="32">
        <f t="shared" si="1"/>
        <v>-51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3">
        <v>905.0</v>
      </c>
      <c r="B49" s="6">
        <v>45268.0</v>
      </c>
      <c r="C49" s="4" t="s">
        <v>228</v>
      </c>
      <c r="D49" s="27" t="s">
        <v>247</v>
      </c>
      <c r="E49" s="17">
        <v>2880.0</v>
      </c>
      <c r="F49" s="31">
        <v>2816.0</v>
      </c>
      <c r="G49" s="32">
        <f t="shared" si="1"/>
        <v>22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3" t="s">
        <v>229</v>
      </c>
      <c r="B50" s="6">
        <v>45269.0</v>
      </c>
      <c r="C50" s="4" t="s">
        <v>230</v>
      </c>
      <c r="D50" s="27" t="s">
        <v>247</v>
      </c>
      <c r="E50" s="17">
        <v>2990.0</v>
      </c>
      <c r="F50" s="31">
        <v>2860.0</v>
      </c>
      <c r="G50" s="32">
        <f t="shared" si="1"/>
        <v>44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3">
        <v>775.0</v>
      </c>
      <c r="B51" s="6">
        <v>45270.0</v>
      </c>
      <c r="C51" s="4" t="s">
        <v>231</v>
      </c>
      <c r="D51" s="27" t="s">
        <v>247</v>
      </c>
      <c r="E51" s="17">
        <v>2616.0</v>
      </c>
      <c r="F51" s="31">
        <v>2800.0</v>
      </c>
      <c r="G51" s="32">
        <f t="shared" si="1"/>
        <v>-60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3" t="s">
        <v>232</v>
      </c>
      <c r="B52" s="6">
        <v>45271.0</v>
      </c>
      <c r="C52" s="4" t="s">
        <v>233</v>
      </c>
      <c r="D52" s="27" t="s">
        <v>247</v>
      </c>
      <c r="E52" s="17">
        <v>2870.0</v>
      </c>
      <c r="F52" s="31">
        <v>2818.0</v>
      </c>
      <c r="G52" s="32">
        <f t="shared" si="1"/>
        <v>18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3" t="s">
        <v>234</v>
      </c>
      <c r="B53" s="6">
        <v>45272.0</v>
      </c>
      <c r="C53" s="4" t="s">
        <v>235</v>
      </c>
      <c r="D53" s="27" t="s">
        <v>247</v>
      </c>
      <c r="E53" s="17">
        <v>3063.0</v>
      </c>
      <c r="F53" s="31">
        <v>2880.0</v>
      </c>
      <c r="G53" s="32">
        <f t="shared" si="1"/>
        <v>62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1">
        <v>921.0</v>
      </c>
      <c r="B54" s="6">
        <v>45319.0</v>
      </c>
      <c r="C54" s="22" t="s">
        <v>236</v>
      </c>
      <c r="D54" s="27" t="s">
        <v>247</v>
      </c>
      <c r="E54" s="26">
        <v>2690.0</v>
      </c>
      <c r="F54" s="31">
        <v>2835.0</v>
      </c>
      <c r="G54" s="32">
        <f t="shared" si="1"/>
        <v>-45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1" t="s">
        <v>237</v>
      </c>
      <c r="B55" s="6">
        <v>45320.0</v>
      </c>
      <c r="C55" s="22" t="s">
        <v>238</v>
      </c>
      <c r="D55" s="27" t="s">
        <v>247</v>
      </c>
      <c r="E55" s="26">
        <v>2821.0</v>
      </c>
      <c r="F55" s="31">
        <v>2832.0</v>
      </c>
      <c r="G55" s="32">
        <f t="shared" si="1"/>
        <v>-3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1" t="s">
        <v>239</v>
      </c>
      <c r="B56" s="6">
        <v>45321.0</v>
      </c>
      <c r="C56" s="22" t="s">
        <v>240</v>
      </c>
      <c r="D56" s="27" t="s">
        <v>247</v>
      </c>
      <c r="E56" s="26">
        <v>2734.0</v>
      </c>
      <c r="F56" s="31">
        <v>2809.0</v>
      </c>
      <c r="G56" s="32">
        <f t="shared" si="1"/>
        <v>-23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1">
        <v>773.0</v>
      </c>
      <c r="B57" s="6">
        <v>45322.0</v>
      </c>
      <c r="C57" s="22" t="s">
        <v>241</v>
      </c>
      <c r="D57" s="27" t="s">
        <v>247</v>
      </c>
      <c r="E57" s="26">
        <v>2839.0</v>
      </c>
      <c r="F57" s="31">
        <v>2817.0</v>
      </c>
      <c r="G57" s="32">
        <f t="shared" si="1"/>
        <v>8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1">
        <v>768.0</v>
      </c>
      <c r="B58" s="6">
        <v>45323.0</v>
      </c>
      <c r="C58" s="22" t="s">
        <v>242</v>
      </c>
      <c r="D58" s="27" t="s">
        <v>247</v>
      </c>
      <c r="E58" s="26">
        <v>3106.0</v>
      </c>
      <c r="F58" s="31">
        <v>2888.0</v>
      </c>
      <c r="G58" s="32">
        <f t="shared" si="1"/>
        <v>71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3"/>
      <c r="B59" s="9"/>
      <c r="D59" s="33"/>
      <c r="E59" s="32"/>
      <c r="F59" s="32"/>
      <c r="G59" s="3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3"/>
      <c r="B60" s="9"/>
      <c r="D60" s="33"/>
      <c r="E60" s="32"/>
      <c r="F60" s="32"/>
      <c r="G60" s="3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5"/>
      <c r="B61" s="9"/>
      <c r="D61" s="33"/>
      <c r="E61" s="32"/>
      <c r="F61" s="32"/>
      <c r="G61" s="3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3"/>
      <c r="B62" s="9"/>
      <c r="D62" s="33"/>
      <c r="E62" s="32"/>
      <c r="F62" s="32"/>
      <c r="G62" s="3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3"/>
      <c r="B63" s="9"/>
      <c r="D63" s="33"/>
      <c r="E63" s="32"/>
      <c r="F63" s="32"/>
      <c r="G63" s="3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3"/>
      <c r="B64" s="9"/>
      <c r="D64" s="33"/>
      <c r="E64" s="32"/>
      <c r="F64" s="32"/>
      <c r="G64" s="3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3"/>
      <c r="B65" s="9"/>
      <c r="D65" s="33"/>
      <c r="E65" s="32"/>
      <c r="F65" s="32"/>
      <c r="G65" s="3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3"/>
      <c r="B66" s="9"/>
      <c r="D66" s="33"/>
      <c r="E66" s="32"/>
      <c r="F66" s="32"/>
      <c r="G66" s="3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3"/>
      <c r="B67" s="9"/>
      <c r="D67" s="33"/>
      <c r="E67" s="32"/>
      <c r="F67" s="32"/>
      <c r="G67" s="3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3"/>
      <c r="B68" s="9"/>
      <c r="D68" s="33"/>
      <c r="E68" s="32"/>
      <c r="F68" s="32"/>
      <c r="G68" s="3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3"/>
      <c r="B69" s="9"/>
      <c r="D69" s="33"/>
      <c r="E69" s="32"/>
      <c r="F69" s="32"/>
      <c r="G69" s="3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3"/>
      <c r="B70" s="9"/>
      <c r="D70" s="33"/>
      <c r="E70" s="32"/>
      <c r="F70" s="32"/>
      <c r="G70" s="3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3"/>
      <c r="B71" s="9"/>
      <c r="D71" s="33"/>
      <c r="E71" s="32"/>
      <c r="F71" s="32"/>
      <c r="G71" s="3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3"/>
      <c r="B72" s="9"/>
      <c r="D72" s="33"/>
      <c r="E72" s="32"/>
      <c r="F72" s="32"/>
      <c r="G72" s="3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3"/>
      <c r="B73" s="9"/>
      <c r="D73" s="33"/>
      <c r="E73" s="32"/>
      <c r="F73" s="32"/>
      <c r="G73" s="3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3"/>
      <c r="B74" s="9"/>
      <c r="D74" s="33"/>
      <c r="E74" s="32"/>
      <c r="F74" s="32"/>
      <c r="G74" s="3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3"/>
      <c r="B75" s="9"/>
      <c r="D75" s="33"/>
      <c r="E75" s="32"/>
      <c r="F75" s="32"/>
      <c r="G75" s="3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3"/>
      <c r="B76" s="9"/>
      <c r="D76" s="33"/>
      <c r="E76" s="32"/>
      <c r="F76" s="32"/>
      <c r="G76" s="3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3"/>
      <c r="B77" s="9"/>
      <c r="D77" s="33"/>
      <c r="E77" s="32"/>
      <c r="F77" s="32"/>
      <c r="G77" s="3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3"/>
      <c r="B78" s="9"/>
      <c r="D78" s="33"/>
      <c r="E78" s="32"/>
      <c r="F78" s="32"/>
      <c r="G78" s="3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3"/>
      <c r="B79" s="9"/>
      <c r="D79" s="33"/>
      <c r="E79" s="32"/>
      <c r="F79" s="32"/>
      <c r="G79" s="3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3"/>
      <c r="B80" s="9"/>
      <c r="D80" s="33"/>
      <c r="E80" s="32"/>
      <c r="F80" s="32"/>
      <c r="G80" s="3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3"/>
      <c r="B81" s="9"/>
      <c r="D81" s="33"/>
      <c r="E81" s="32"/>
      <c r="F81" s="32"/>
      <c r="G81" s="3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3"/>
      <c r="B82" s="9"/>
      <c r="D82" s="33"/>
      <c r="E82" s="32"/>
      <c r="F82" s="32"/>
      <c r="G82" s="3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3"/>
      <c r="B83" s="9"/>
      <c r="D83" s="33"/>
      <c r="E83" s="32"/>
      <c r="F83" s="32"/>
      <c r="G83" s="34"/>
      <c r="H83" s="1" t="s">
        <v>245</v>
      </c>
      <c r="I83" s="1" t="s">
        <v>250</v>
      </c>
      <c r="J83" s="1" t="s">
        <v>251</v>
      </c>
      <c r="K83" s="1" t="s">
        <v>252</v>
      </c>
      <c r="L83" s="3"/>
      <c r="M83" s="3"/>
      <c r="N83" s="1" t="s">
        <v>253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3"/>
      <c r="B84" s="9"/>
      <c r="D84" s="33"/>
      <c r="E84" s="32"/>
      <c r="F84" s="32"/>
      <c r="G84" s="34"/>
      <c r="H84" s="32">
        <f t="shared" ref="H84:H140" si="2">F2</f>
        <v>1952</v>
      </c>
      <c r="I84" s="32">
        <f t="shared" ref="I84:I140" si="3">E2</f>
        <v>2811</v>
      </c>
      <c r="J84" s="32" t="str">
        <f t="shared" ref="J84:J86" si="4">AVERAGE(#REF!)</f>
        <v>#REF!</v>
      </c>
      <c r="K84" s="32" t="str">
        <f t="shared" ref="K84:K140" si="5">average(J80:J84)</f>
        <v>#REF!</v>
      </c>
      <c r="L84" s="3"/>
      <c r="M84" s="3"/>
      <c r="N84" s="32">
        <f t="shared" ref="N84:N140" si="6">50*round(I84/50,0)</f>
        <v>2800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3"/>
      <c r="B85" s="9"/>
      <c r="D85" s="33"/>
      <c r="E85" s="32"/>
      <c r="F85" s="32"/>
      <c r="G85" s="34"/>
      <c r="H85" s="32">
        <f t="shared" si="2"/>
        <v>1955</v>
      </c>
      <c r="I85" s="32">
        <f t="shared" si="3"/>
        <v>1965</v>
      </c>
      <c r="J85" s="32" t="str">
        <f t="shared" si="4"/>
        <v>#REF!</v>
      </c>
      <c r="K85" s="32" t="str">
        <f t="shared" si="5"/>
        <v>#REF!</v>
      </c>
      <c r="L85" s="3"/>
      <c r="M85" s="3"/>
      <c r="N85" s="32">
        <f t="shared" si="6"/>
        <v>1950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3"/>
      <c r="B86" s="9"/>
      <c r="D86" s="33"/>
      <c r="E86" s="32"/>
      <c r="F86" s="32"/>
      <c r="G86" s="34"/>
      <c r="H86" s="31">
        <f t="shared" si="2"/>
        <v>1955</v>
      </c>
      <c r="I86" s="32">
        <f t="shared" si="3"/>
        <v>2380</v>
      </c>
      <c r="J86" s="32" t="str">
        <f t="shared" si="4"/>
        <v>#REF!</v>
      </c>
      <c r="K86" s="32" t="str">
        <f t="shared" si="5"/>
        <v>#REF!</v>
      </c>
      <c r="L86" s="3"/>
      <c r="M86" s="3"/>
      <c r="N86" s="32">
        <f t="shared" si="6"/>
        <v>2400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3"/>
      <c r="B87" s="9"/>
      <c r="D87" s="33"/>
      <c r="E87" s="32"/>
      <c r="F87" s="32"/>
      <c r="G87" s="34"/>
      <c r="H87" s="32">
        <f t="shared" si="2"/>
        <v>2142</v>
      </c>
      <c r="I87" s="32">
        <f t="shared" si="3"/>
        <v>2630</v>
      </c>
      <c r="J87" s="32">
        <f t="shared" ref="J87:J140" si="7">AVERAGE(E1:E5)</f>
        <v>2446.5</v>
      </c>
      <c r="K87" s="32" t="str">
        <f t="shared" si="5"/>
        <v>#REF!</v>
      </c>
      <c r="L87" s="3"/>
      <c r="M87" s="3"/>
      <c r="N87" s="32">
        <f t="shared" si="6"/>
        <v>2650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3"/>
      <c r="B88" s="9"/>
      <c r="D88" s="33"/>
      <c r="E88" s="32"/>
      <c r="F88" s="32"/>
      <c r="G88" s="34"/>
      <c r="H88" s="32">
        <f t="shared" si="2"/>
        <v>2290</v>
      </c>
      <c r="I88" s="32">
        <f t="shared" si="3"/>
        <v>2703</v>
      </c>
      <c r="J88" s="32">
        <f t="shared" si="7"/>
        <v>2497.8</v>
      </c>
      <c r="K88" s="32" t="str">
        <f t="shared" si="5"/>
        <v>#REF!</v>
      </c>
      <c r="L88" s="3"/>
      <c r="M88" s="3"/>
      <c r="N88" s="32">
        <f t="shared" si="6"/>
        <v>2700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3"/>
      <c r="B89" s="9"/>
      <c r="D89" s="33"/>
      <c r="E89" s="32"/>
      <c r="F89" s="32"/>
      <c r="G89" s="34"/>
      <c r="H89" s="32">
        <f t="shared" si="2"/>
        <v>2295</v>
      </c>
      <c r="I89" s="32">
        <f t="shared" si="3"/>
        <v>2312</v>
      </c>
      <c r="J89" s="32">
        <f t="shared" si="7"/>
        <v>2398</v>
      </c>
      <c r="K89" s="32" t="str">
        <f t="shared" si="5"/>
        <v>#REF!</v>
      </c>
      <c r="L89" s="3"/>
      <c r="M89" s="3"/>
      <c r="N89" s="32">
        <f t="shared" si="6"/>
        <v>2300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3"/>
      <c r="B90" s="9"/>
      <c r="D90" s="33"/>
      <c r="E90" s="32"/>
      <c r="F90" s="32"/>
      <c r="G90" s="34"/>
      <c r="H90" s="32">
        <f t="shared" si="2"/>
        <v>2278</v>
      </c>
      <c r="I90" s="32">
        <f t="shared" si="3"/>
        <v>2219</v>
      </c>
      <c r="J90" s="32">
        <f t="shared" si="7"/>
        <v>2448.8</v>
      </c>
      <c r="K90" s="32" t="str">
        <f t="shared" si="5"/>
        <v>#REF!</v>
      </c>
      <c r="L90" s="3"/>
      <c r="M90" s="3"/>
      <c r="N90" s="32">
        <f t="shared" si="6"/>
        <v>2200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3"/>
      <c r="B91" s="9"/>
      <c r="D91" s="33"/>
      <c r="E91" s="32"/>
      <c r="F91" s="32"/>
      <c r="G91" s="34"/>
      <c r="H91" s="32">
        <f t="shared" si="2"/>
        <v>2291</v>
      </c>
      <c r="I91" s="32">
        <f t="shared" si="3"/>
        <v>2329</v>
      </c>
      <c r="J91" s="32">
        <f t="shared" si="7"/>
        <v>2438.6</v>
      </c>
      <c r="K91" s="32">
        <f t="shared" si="5"/>
        <v>2445.94</v>
      </c>
      <c r="L91" s="3"/>
      <c r="M91" s="3"/>
      <c r="N91" s="32">
        <f t="shared" si="6"/>
        <v>2350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3"/>
      <c r="B92" s="9"/>
      <c r="D92" s="33"/>
      <c r="E92" s="32"/>
      <c r="F92" s="32"/>
      <c r="G92" s="34"/>
      <c r="H92" s="32">
        <f t="shared" si="2"/>
        <v>2363</v>
      </c>
      <c r="I92" s="32">
        <f t="shared" si="3"/>
        <v>2570</v>
      </c>
      <c r="J92" s="32">
        <f t="shared" si="7"/>
        <v>2426.6</v>
      </c>
      <c r="K92" s="32">
        <f t="shared" si="5"/>
        <v>2441.96</v>
      </c>
      <c r="L92" s="3"/>
      <c r="M92" s="3"/>
      <c r="N92" s="32">
        <f t="shared" si="6"/>
        <v>2550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3"/>
      <c r="B93" s="9"/>
      <c r="D93" s="33"/>
      <c r="E93" s="32"/>
      <c r="F93" s="32"/>
      <c r="G93" s="34"/>
      <c r="H93" s="32">
        <f t="shared" si="2"/>
        <v>2436</v>
      </c>
      <c r="I93" s="32">
        <f t="shared" si="3"/>
        <v>2642</v>
      </c>
      <c r="J93" s="32">
        <f t="shared" si="7"/>
        <v>2414.4</v>
      </c>
      <c r="K93" s="32">
        <f t="shared" si="5"/>
        <v>2425.28</v>
      </c>
      <c r="L93" s="3"/>
      <c r="M93" s="3"/>
      <c r="N93" s="32">
        <f t="shared" si="6"/>
        <v>2650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3"/>
      <c r="B94" s="9"/>
      <c r="C94" s="32"/>
      <c r="D94" s="33"/>
      <c r="E94" s="32"/>
      <c r="F94" s="32"/>
      <c r="G94" s="34"/>
      <c r="H94" s="32">
        <f t="shared" si="2"/>
        <v>2456</v>
      </c>
      <c r="I94" s="32">
        <f t="shared" si="3"/>
        <v>2514</v>
      </c>
      <c r="J94" s="32">
        <f t="shared" si="7"/>
        <v>2454.8</v>
      </c>
      <c r="K94" s="32">
        <f t="shared" si="5"/>
        <v>2436.64</v>
      </c>
      <c r="L94" s="3"/>
      <c r="M94" s="3"/>
      <c r="N94" s="32">
        <f t="shared" si="6"/>
        <v>2500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3"/>
      <c r="B95" s="9"/>
      <c r="C95" s="3"/>
      <c r="D95" s="33"/>
      <c r="E95" s="32"/>
      <c r="F95" s="32"/>
      <c r="G95" s="34"/>
      <c r="H95" s="32">
        <f t="shared" si="2"/>
        <v>2461</v>
      </c>
      <c r="I95" s="32">
        <f t="shared" si="3"/>
        <v>2477</v>
      </c>
      <c r="J95" s="32">
        <f t="shared" si="7"/>
        <v>2506.4</v>
      </c>
      <c r="K95" s="32">
        <f t="shared" si="5"/>
        <v>2448.16</v>
      </c>
      <c r="L95" s="3"/>
      <c r="M95" s="3"/>
      <c r="N95" s="32">
        <f t="shared" si="6"/>
        <v>2500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3"/>
      <c r="B96" s="9"/>
      <c r="C96" s="3"/>
      <c r="D96" s="33"/>
      <c r="E96" s="32"/>
      <c r="F96" s="32"/>
      <c r="G96" s="34"/>
      <c r="H96" s="32">
        <f t="shared" si="2"/>
        <v>2583</v>
      </c>
      <c r="I96" s="32">
        <f t="shared" si="3"/>
        <v>2921</v>
      </c>
      <c r="J96" s="32">
        <f t="shared" si="7"/>
        <v>2624.8</v>
      </c>
      <c r="K96" s="32">
        <f t="shared" si="5"/>
        <v>2485.4</v>
      </c>
      <c r="L96" s="3"/>
      <c r="M96" s="3"/>
      <c r="N96" s="32">
        <f t="shared" si="6"/>
        <v>2900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3"/>
      <c r="B97" s="9"/>
      <c r="C97" s="3"/>
      <c r="D97" s="33"/>
      <c r="E97" s="32"/>
      <c r="F97" s="32"/>
      <c r="G97" s="34"/>
      <c r="H97" s="32">
        <f t="shared" si="2"/>
        <v>2580</v>
      </c>
      <c r="I97" s="32">
        <f t="shared" si="3"/>
        <v>2571</v>
      </c>
      <c r="J97" s="32">
        <f t="shared" si="7"/>
        <v>2625</v>
      </c>
      <c r="K97" s="32">
        <f t="shared" si="5"/>
        <v>2525.08</v>
      </c>
      <c r="L97" s="3"/>
      <c r="M97" s="3"/>
      <c r="N97" s="32">
        <f t="shared" si="6"/>
        <v>2550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3"/>
      <c r="B98" s="9"/>
      <c r="C98" s="3"/>
      <c r="D98" s="33"/>
      <c r="E98" s="32"/>
      <c r="F98" s="32"/>
      <c r="G98" s="34"/>
      <c r="H98" s="32">
        <f t="shared" si="2"/>
        <v>2612</v>
      </c>
      <c r="I98" s="32">
        <f t="shared" si="3"/>
        <v>2703</v>
      </c>
      <c r="J98" s="32">
        <f t="shared" si="7"/>
        <v>2637.2</v>
      </c>
      <c r="K98" s="32">
        <f t="shared" si="5"/>
        <v>2569.64</v>
      </c>
      <c r="L98" s="3"/>
      <c r="M98" s="3"/>
      <c r="N98" s="32">
        <f t="shared" si="6"/>
        <v>2700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3"/>
      <c r="B99" s="9"/>
      <c r="C99" s="3"/>
      <c r="D99" s="33"/>
      <c r="E99" s="32"/>
      <c r="F99" s="32"/>
      <c r="G99" s="34"/>
      <c r="H99" s="32">
        <f t="shared" si="2"/>
        <v>2600</v>
      </c>
      <c r="I99" s="32">
        <f t="shared" si="3"/>
        <v>2556</v>
      </c>
      <c r="J99" s="32">
        <f t="shared" si="7"/>
        <v>2645.6</v>
      </c>
      <c r="K99" s="32">
        <f t="shared" si="5"/>
        <v>2607.8</v>
      </c>
      <c r="L99" s="3"/>
      <c r="M99" s="3"/>
      <c r="N99" s="32">
        <f t="shared" si="6"/>
        <v>2550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3"/>
      <c r="B100" s="9"/>
      <c r="C100" s="3"/>
      <c r="D100" s="33"/>
      <c r="E100" s="32"/>
      <c r="F100" s="32"/>
      <c r="G100" s="34"/>
      <c r="H100" s="32">
        <f t="shared" si="2"/>
        <v>2569</v>
      </c>
      <c r="I100" s="32">
        <f t="shared" si="3"/>
        <v>2474</v>
      </c>
      <c r="J100" s="32">
        <f t="shared" si="7"/>
        <v>2645</v>
      </c>
      <c r="K100" s="32">
        <f t="shared" si="5"/>
        <v>2635.52</v>
      </c>
      <c r="L100" s="3"/>
      <c r="M100" s="3"/>
      <c r="N100" s="32">
        <f t="shared" si="6"/>
        <v>2450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3"/>
      <c r="B101" s="9"/>
      <c r="C101" s="3"/>
      <c r="D101" s="33"/>
      <c r="E101" s="32"/>
      <c r="F101" s="32"/>
      <c r="G101" s="34"/>
      <c r="H101" s="32">
        <f t="shared" si="2"/>
        <v>2559</v>
      </c>
      <c r="I101" s="32">
        <f t="shared" si="3"/>
        <v>2528</v>
      </c>
      <c r="J101" s="32">
        <f t="shared" si="7"/>
        <v>2566.4</v>
      </c>
      <c r="K101" s="32">
        <f t="shared" si="5"/>
        <v>2623.84</v>
      </c>
      <c r="L101" s="3"/>
      <c r="M101" s="3"/>
      <c r="N101" s="32">
        <f t="shared" si="6"/>
        <v>2550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3"/>
      <c r="B102" s="9"/>
      <c r="C102" s="3"/>
      <c r="D102" s="33"/>
      <c r="E102" s="32"/>
      <c r="F102" s="32"/>
      <c r="G102" s="34"/>
      <c r="H102" s="32">
        <f t="shared" si="2"/>
        <v>2563</v>
      </c>
      <c r="I102" s="32">
        <f t="shared" si="3"/>
        <v>2579</v>
      </c>
      <c r="J102" s="32">
        <f t="shared" si="7"/>
        <v>2568</v>
      </c>
      <c r="K102" s="32">
        <f t="shared" si="5"/>
        <v>2612.44</v>
      </c>
      <c r="L102" s="3"/>
      <c r="M102" s="3"/>
      <c r="N102" s="32">
        <f t="shared" si="6"/>
        <v>2600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3"/>
      <c r="B103" s="9"/>
      <c r="C103" s="3"/>
      <c r="D103" s="33"/>
      <c r="E103" s="32"/>
      <c r="F103" s="32"/>
      <c r="G103" s="34"/>
      <c r="H103" s="32">
        <f t="shared" si="2"/>
        <v>2559</v>
      </c>
      <c r="I103" s="32">
        <f t="shared" si="3"/>
        <v>2545</v>
      </c>
      <c r="J103" s="32">
        <f t="shared" si="7"/>
        <v>2536.4</v>
      </c>
      <c r="K103" s="32">
        <f t="shared" si="5"/>
        <v>2592.28</v>
      </c>
      <c r="L103" s="3"/>
      <c r="M103" s="3"/>
      <c r="N103" s="32">
        <f t="shared" si="6"/>
        <v>2550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3"/>
      <c r="B104" s="9"/>
      <c r="C104" s="3"/>
      <c r="D104" s="33"/>
      <c r="E104" s="32"/>
      <c r="F104" s="32"/>
      <c r="G104" s="34"/>
      <c r="H104" s="32">
        <f t="shared" si="2"/>
        <v>2497</v>
      </c>
      <c r="I104" s="32">
        <f t="shared" si="3"/>
        <v>2298</v>
      </c>
      <c r="J104" s="32">
        <f t="shared" si="7"/>
        <v>2484.8</v>
      </c>
      <c r="K104" s="32">
        <f t="shared" si="5"/>
        <v>2560.12</v>
      </c>
      <c r="L104" s="3"/>
      <c r="M104" s="3"/>
      <c r="N104" s="32">
        <f t="shared" si="6"/>
        <v>2300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3"/>
      <c r="B105" s="9"/>
      <c r="C105" s="3"/>
      <c r="D105" s="33"/>
      <c r="E105" s="32"/>
      <c r="F105" s="32"/>
      <c r="G105" s="34"/>
      <c r="H105" s="32">
        <f t="shared" si="2"/>
        <v>2549</v>
      </c>
      <c r="I105" s="32">
        <f t="shared" si="3"/>
        <v>2700</v>
      </c>
      <c r="J105" s="32">
        <f t="shared" si="7"/>
        <v>2530</v>
      </c>
      <c r="K105" s="32">
        <f t="shared" si="5"/>
        <v>2537.12</v>
      </c>
      <c r="L105" s="3"/>
      <c r="M105" s="3"/>
      <c r="N105" s="32">
        <f t="shared" si="6"/>
        <v>2700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3"/>
      <c r="B106" s="9"/>
      <c r="C106" s="3"/>
      <c r="D106" s="33"/>
      <c r="E106" s="32"/>
      <c r="F106" s="32"/>
      <c r="G106" s="34"/>
      <c r="H106" s="32">
        <f t="shared" si="2"/>
        <v>2631</v>
      </c>
      <c r="I106" s="32">
        <f t="shared" si="3"/>
        <v>2871</v>
      </c>
      <c r="J106" s="32">
        <f t="shared" si="7"/>
        <v>2598.6</v>
      </c>
      <c r="K106" s="32">
        <f t="shared" si="5"/>
        <v>2543.56</v>
      </c>
      <c r="L106" s="3"/>
      <c r="M106" s="3"/>
      <c r="N106" s="32">
        <f t="shared" si="6"/>
        <v>2850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3"/>
      <c r="B107" s="9"/>
      <c r="C107" s="3"/>
      <c r="D107" s="33"/>
      <c r="E107" s="32"/>
      <c r="F107" s="32"/>
      <c r="G107" s="34"/>
      <c r="H107" s="32">
        <f t="shared" si="2"/>
        <v>2574</v>
      </c>
      <c r="I107" s="32">
        <f t="shared" si="3"/>
        <v>2392</v>
      </c>
      <c r="J107" s="32">
        <f t="shared" si="7"/>
        <v>2561.2</v>
      </c>
      <c r="K107" s="32">
        <f t="shared" si="5"/>
        <v>2542.2</v>
      </c>
      <c r="L107" s="3"/>
      <c r="M107" s="3"/>
      <c r="N107" s="32">
        <f t="shared" si="6"/>
        <v>2400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3"/>
      <c r="B108" s="9"/>
      <c r="C108" s="3"/>
      <c r="D108" s="33"/>
      <c r="E108" s="32"/>
      <c r="F108" s="32"/>
      <c r="G108" s="34"/>
      <c r="H108" s="32">
        <f t="shared" si="2"/>
        <v>2607</v>
      </c>
      <c r="I108" s="32">
        <f t="shared" si="3"/>
        <v>2700</v>
      </c>
      <c r="J108" s="32">
        <f t="shared" si="7"/>
        <v>2592.2</v>
      </c>
      <c r="K108" s="32">
        <f t="shared" si="5"/>
        <v>2553.36</v>
      </c>
      <c r="L108" s="3"/>
      <c r="M108" s="3"/>
      <c r="N108" s="32">
        <f t="shared" si="6"/>
        <v>2700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3"/>
      <c r="B109" s="9"/>
      <c r="C109" s="3"/>
      <c r="D109" s="33"/>
      <c r="E109" s="32"/>
      <c r="F109" s="32"/>
      <c r="G109" s="34"/>
      <c r="H109" s="32">
        <f t="shared" si="2"/>
        <v>2669</v>
      </c>
      <c r="I109" s="32">
        <f t="shared" si="3"/>
        <v>2845</v>
      </c>
      <c r="J109" s="32">
        <f t="shared" si="7"/>
        <v>2701.6</v>
      </c>
      <c r="K109" s="32">
        <f t="shared" si="5"/>
        <v>2596.72</v>
      </c>
      <c r="L109" s="3"/>
      <c r="M109" s="3"/>
      <c r="N109" s="32">
        <f t="shared" si="6"/>
        <v>2850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3"/>
      <c r="B110" s="9"/>
      <c r="C110" s="3"/>
      <c r="D110" s="33"/>
      <c r="E110" s="32"/>
      <c r="F110" s="32"/>
      <c r="G110" s="34"/>
      <c r="H110" s="32">
        <f t="shared" si="2"/>
        <v>2651</v>
      </c>
      <c r="I110" s="32">
        <f t="shared" si="3"/>
        <v>2592</v>
      </c>
      <c r="J110" s="32">
        <f t="shared" si="7"/>
        <v>2680</v>
      </c>
      <c r="K110" s="32">
        <f t="shared" si="5"/>
        <v>2626.72</v>
      </c>
      <c r="L110" s="3"/>
      <c r="M110" s="3"/>
      <c r="N110" s="32">
        <f t="shared" si="6"/>
        <v>2600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3"/>
      <c r="B111" s="9"/>
      <c r="C111" s="3"/>
      <c r="D111" s="33"/>
      <c r="E111" s="32"/>
      <c r="F111" s="32"/>
      <c r="G111" s="34"/>
      <c r="H111" s="32">
        <f t="shared" si="2"/>
        <v>2672</v>
      </c>
      <c r="I111" s="32">
        <f t="shared" si="3"/>
        <v>2728</v>
      </c>
      <c r="J111" s="32">
        <f t="shared" si="7"/>
        <v>2651.4</v>
      </c>
      <c r="K111" s="32">
        <f t="shared" si="5"/>
        <v>2637.28</v>
      </c>
      <c r="L111" s="3"/>
      <c r="M111" s="3"/>
      <c r="N111" s="32">
        <f t="shared" si="6"/>
        <v>2750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3"/>
      <c r="B112" s="9"/>
      <c r="C112" s="3"/>
      <c r="D112" s="33"/>
      <c r="E112" s="32"/>
      <c r="F112" s="32"/>
      <c r="G112" s="34"/>
      <c r="H112" s="32">
        <f t="shared" si="2"/>
        <v>2784</v>
      </c>
      <c r="I112" s="32">
        <f t="shared" si="3"/>
        <v>3115</v>
      </c>
      <c r="J112" s="32">
        <f t="shared" si="7"/>
        <v>2796</v>
      </c>
      <c r="K112" s="32">
        <f t="shared" si="5"/>
        <v>2684.24</v>
      </c>
      <c r="L112" s="3"/>
      <c r="M112" s="3"/>
      <c r="N112" s="32">
        <f t="shared" si="6"/>
        <v>3100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3"/>
      <c r="B113" s="9"/>
      <c r="C113" s="3"/>
      <c r="D113" s="33"/>
      <c r="E113" s="32"/>
      <c r="F113" s="32"/>
      <c r="G113" s="34"/>
      <c r="H113" s="32">
        <f t="shared" si="2"/>
        <v>2768</v>
      </c>
      <c r="I113" s="32">
        <f t="shared" si="3"/>
        <v>2717</v>
      </c>
      <c r="J113" s="32">
        <f t="shared" si="7"/>
        <v>2799.4</v>
      </c>
      <c r="K113" s="32">
        <f t="shared" si="5"/>
        <v>2725.68</v>
      </c>
      <c r="L113" s="3"/>
      <c r="M113" s="3"/>
      <c r="N113" s="32">
        <f t="shared" si="6"/>
        <v>2700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3"/>
      <c r="B114" s="9"/>
      <c r="C114" s="3"/>
      <c r="D114" s="33"/>
      <c r="E114" s="32"/>
      <c r="F114" s="32"/>
      <c r="G114" s="34"/>
      <c r="H114" s="32">
        <f t="shared" si="2"/>
        <v>2796</v>
      </c>
      <c r="I114" s="32">
        <f t="shared" si="3"/>
        <v>2879</v>
      </c>
      <c r="J114" s="32">
        <f t="shared" si="7"/>
        <v>2806.2</v>
      </c>
      <c r="K114" s="32">
        <f t="shared" si="5"/>
        <v>2746.6</v>
      </c>
      <c r="L114" s="3"/>
      <c r="M114" s="3"/>
      <c r="N114" s="32">
        <f t="shared" si="6"/>
        <v>2900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3"/>
      <c r="B115" s="9"/>
      <c r="C115" s="3"/>
      <c r="D115" s="33"/>
      <c r="E115" s="32"/>
      <c r="F115" s="32"/>
      <c r="G115" s="34"/>
      <c r="H115" s="32">
        <f t="shared" si="2"/>
        <v>2733</v>
      </c>
      <c r="I115" s="32">
        <f t="shared" si="3"/>
        <v>2538</v>
      </c>
      <c r="J115" s="32">
        <f t="shared" si="7"/>
        <v>2795.4</v>
      </c>
      <c r="K115" s="32">
        <f t="shared" si="5"/>
        <v>2769.68</v>
      </c>
      <c r="L115" s="3"/>
      <c r="M115" s="3"/>
      <c r="N115" s="32">
        <f t="shared" si="6"/>
        <v>2550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3"/>
      <c r="B116" s="9"/>
      <c r="C116" s="3"/>
      <c r="D116" s="33"/>
      <c r="E116" s="32"/>
      <c r="F116" s="32"/>
      <c r="G116" s="34"/>
      <c r="H116" s="32">
        <f t="shared" si="2"/>
        <v>2800</v>
      </c>
      <c r="I116" s="32">
        <f t="shared" si="3"/>
        <v>2995</v>
      </c>
      <c r="J116" s="32">
        <f t="shared" si="7"/>
        <v>2848.8</v>
      </c>
      <c r="K116" s="32">
        <f t="shared" si="5"/>
        <v>2809.16</v>
      </c>
      <c r="L116" s="3"/>
      <c r="M116" s="3"/>
      <c r="N116" s="32">
        <f t="shared" si="6"/>
        <v>3000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3"/>
      <c r="B117" s="9"/>
      <c r="C117" s="3"/>
      <c r="D117" s="33"/>
      <c r="E117" s="32"/>
      <c r="F117" s="32"/>
      <c r="G117" s="34"/>
      <c r="H117" s="32">
        <f t="shared" si="2"/>
        <v>2773</v>
      </c>
      <c r="I117" s="32">
        <f t="shared" si="3"/>
        <v>2694</v>
      </c>
      <c r="J117" s="32">
        <f t="shared" si="7"/>
        <v>2764.6</v>
      </c>
      <c r="K117" s="32">
        <f t="shared" si="5"/>
        <v>2802.88</v>
      </c>
      <c r="L117" s="3"/>
      <c r="M117" s="3"/>
      <c r="N117" s="32">
        <f t="shared" si="6"/>
        <v>2700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3"/>
      <c r="B118" s="9"/>
      <c r="C118" s="3"/>
      <c r="D118" s="33"/>
      <c r="E118" s="32"/>
      <c r="F118" s="32"/>
      <c r="G118" s="34"/>
      <c r="H118" s="32">
        <f t="shared" si="2"/>
        <v>2648</v>
      </c>
      <c r="I118" s="32">
        <f t="shared" si="3"/>
        <v>2243</v>
      </c>
      <c r="J118" s="32">
        <f t="shared" si="7"/>
        <v>2669.8</v>
      </c>
      <c r="K118" s="32">
        <f t="shared" si="5"/>
        <v>2776.96</v>
      </c>
      <c r="L118" s="3"/>
      <c r="M118" s="3"/>
      <c r="N118" s="32">
        <f t="shared" si="6"/>
        <v>2250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3"/>
      <c r="B119" s="9"/>
      <c r="C119" s="3"/>
      <c r="D119" s="33"/>
      <c r="E119" s="32"/>
      <c r="F119" s="32"/>
      <c r="G119" s="34"/>
      <c r="H119" s="32">
        <f t="shared" si="2"/>
        <v>2825</v>
      </c>
      <c r="I119" s="32">
        <f t="shared" si="3"/>
        <v>3334</v>
      </c>
      <c r="J119" s="32">
        <f t="shared" si="7"/>
        <v>2760.8</v>
      </c>
      <c r="K119" s="32">
        <f t="shared" si="5"/>
        <v>2767.88</v>
      </c>
      <c r="L119" s="3"/>
      <c r="M119" s="3"/>
      <c r="N119" s="32">
        <f t="shared" si="6"/>
        <v>3350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3"/>
      <c r="B120" s="9"/>
      <c r="C120" s="3"/>
      <c r="D120" s="33"/>
      <c r="E120" s="32"/>
      <c r="F120" s="32"/>
      <c r="G120" s="34"/>
      <c r="H120" s="32">
        <f t="shared" si="2"/>
        <v>2842</v>
      </c>
      <c r="I120" s="32">
        <f t="shared" si="3"/>
        <v>2888</v>
      </c>
      <c r="J120" s="32">
        <f t="shared" si="7"/>
        <v>2830.8</v>
      </c>
      <c r="K120" s="32">
        <f t="shared" si="5"/>
        <v>2774.96</v>
      </c>
      <c r="L120" s="3"/>
      <c r="M120" s="3"/>
      <c r="N120" s="32">
        <f t="shared" si="6"/>
        <v>2900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3"/>
      <c r="B121" s="9"/>
      <c r="C121" s="3"/>
      <c r="D121" s="33"/>
      <c r="E121" s="32"/>
      <c r="F121" s="32"/>
      <c r="G121" s="34"/>
      <c r="H121" s="32">
        <f t="shared" si="2"/>
        <v>2842</v>
      </c>
      <c r="I121" s="32">
        <f t="shared" si="3"/>
        <v>2835</v>
      </c>
      <c r="J121" s="32">
        <f t="shared" si="7"/>
        <v>2798.8</v>
      </c>
      <c r="K121" s="32">
        <f t="shared" si="5"/>
        <v>2764.96</v>
      </c>
      <c r="L121" s="3"/>
      <c r="M121" s="3"/>
      <c r="N121" s="32">
        <f t="shared" si="6"/>
        <v>2850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3"/>
      <c r="B122" s="9"/>
      <c r="C122" s="3"/>
      <c r="D122" s="33"/>
      <c r="E122" s="32"/>
      <c r="F122" s="32"/>
      <c r="G122" s="34"/>
      <c r="H122" s="32">
        <f t="shared" si="2"/>
        <v>2765</v>
      </c>
      <c r="I122" s="32">
        <f t="shared" si="3"/>
        <v>2525</v>
      </c>
      <c r="J122" s="32">
        <f t="shared" si="7"/>
        <v>2765</v>
      </c>
      <c r="K122" s="32">
        <f t="shared" si="5"/>
        <v>2765.04</v>
      </c>
      <c r="L122" s="3"/>
      <c r="M122" s="3"/>
      <c r="N122" s="32">
        <f t="shared" si="6"/>
        <v>2550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3"/>
      <c r="B123" s="9"/>
      <c r="C123" s="3"/>
      <c r="D123" s="33"/>
      <c r="E123" s="32"/>
      <c r="F123" s="32"/>
      <c r="G123" s="34"/>
      <c r="H123" s="32">
        <f t="shared" si="2"/>
        <v>2737</v>
      </c>
      <c r="I123" s="32">
        <f t="shared" si="3"/>
        <v>2649</v>
      </c>
      <c r="J123" s="32">
        <f t="shared" si="7"/>
        <v>2846.2</v>
      </c>
      <c r="K123" s="32">
        <f t="shared" si="5"/>
        <v>2800.32</v>
      </c>
      <c r="L123" s="3"/>
      <c r="M123" s="3"/>
      <c r="N123" s="32">
        <f t="shared" si="6"/>
        <v>2650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3"/>
      <c r="B124" s="9"/>
      <c r="C124" s="3"/>
      <c r="D124" s="33"/>
      <c r="E124" s="32"/>
      <c r="F124" s="32"/>
      <c r="G124" s="34"/>
      <c r="H124" s="32">
        <f t="shared" si="2"/>
        <v>2756</v>
      </c>
      <c r="I124" s="32">
        <f t="shared" si="3"/>
        <v>2811</v>
      </c>
      <c r="J124" s="32">
        <f t="shared" si="7"/>
        <v>2741.6</v>
      </c>
      <c r="K124" s="32">
        <f t="shared" si="5"/>
        <v>2796.48</v>
      </c>
      <c r="L124" s="3"/>
      <c r="M124" s="3"/>
      <c r="N124" s="32">
        <f t="shared" si="6"/>
        <v>2800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3"/>
      <c r="B125" s="9"/>
      <c r="C125" s="3"/>
      <c r="D125" s="33"/>
      <c r="E125" s="32"/>
      <c r="F125" s="32"/>
      <c r="G125" s="34"/>
      <c r="H125" s="32">
        <f t="shared" si="2"/>
        <v>2828</v>
      </c>
      <c r="I125" s="32">
        <f t="shared" si="3"/>
        <v>3038</v>
      </c>
      <c r="J125" s="32">
        <f t="shared" si="7"/>
        <v>2771.6</v>
      </c>
      <c r="K125" s="32">
        <f t="shared" si="5"/>
        <v>2784.64</v>
      </c>
      <c r="L125" s="3"/>
      <c r="M125" s="3"/>
      <c r="N125" s="32">
        <f t="shared" si="6"/>
        <v>3050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3"/>
      <c r="B126" s="9"/>
      <c r="C126" s="3"/>
      <c r="D126" s="33"/>
      <c r="E126" s="32"/>
      <c r="F126" s="32"/>
      <c r="G126" s="34"/>
      <c r="H126" s="32">
        <f t="shared" si="2"/>
        <v>2810</v>
      </c>
      <c r="I126" s="32">
        <f t="shared" si="3"/>
        <v>2753</v>
      </c>
      <c r="J126" s="32">
        <f t="shared" si="7"/>
        <v>2755.2</v>
      </c>
      <c r="K126" s="32">
        <f t="shared" si="5"/>
        <v>2775.92</v>
      </c>
      <c r="L126" s="3"/>
      <c r="M126" s="3"/>
      <c r="N126" s="32">
        <f t="shared" si="6"/>
        <v>2750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3"/>
      <c r="B127" s="9"/>
      <c r="C127" s="3"/>
      <c r="D127" s="33"/>
      <c r="E127" s="32"/>
      <c r="F127" s="32"/>
      <c r="G127" s="34"/>
      <c r="H127" s="32">
        <f t="shared" si="2"/>
        <v>2861</v>
      </c>
      <c r="I127" s="32">
        <f t="shared" si="3"/>
        <v>3006</v>
      </c>
      <c r="J127" s="32">
        <f t="shared" si="7"/>
        <v>2851.4</v>
      </c>
      <c r="K127" s="32">
        <f t="shared" si="5"/>
        <v>2793.2</v>
      </c>
      <c r="L127" s="3"/>
      <c r="M127" s="3"/>
      <c r="N127" s="32">
        <f t="shared" si="6"/>
        <v>3000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3"/>
      <c r="B128" s="9"/>
      <c r="C128" s="3"/>
      <c r="D128" s="33"/>
      <c r="E128" s="32"/>
      <c r="F128" s="32"/>
      <c r="G128" s="34"/>
      <c r="H128" s="32">
        <f t="shared" si="2"/>
        <v>2974</v>
      </c>
      <c r="I128" s="32">
        <f t="shared" si="3"/>
        <v>3305</v>
      </c>
      <c r="J128" s="32">
        <f t="shared" si="7"/>
        <v>2982.6</v>
      </c>
      <c r="K128" s="32">
        <f t="shared" si="5"/>
        <v>2820.48</v>
      </c>
      <c r="L128" s="3"/>
      <c r="M128" s="3"/>
      <c r="N128" s="32">
        <f t="shared" si="6"/>
        <v>3300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3"/>
      <c r="B129" s="9"/>
      <c r="C129" s="3"/>
      <c r="D129" s="33"/>
      <c r="E129" s="32"/>
      <c r="F129" s="32"/>
      <c r="G129" s="34"/>
      <c r="H129" s="32">
        <f t="shared" si="2"/>
        <v>2845</v>
      </c>
      <c r="I129" s="32">
        <f t="shared" si="3"/>
        <v>2450</v>
      </c>
      <c r="J129" s="32">
        <f t="shared" si="7"/>
        <v>2910.4</v>
      </c>
      <c r="K129" s="32">
        <f t="shared" si="5"/>
        <v>2854.24</v>
      </c>
      <c r="L129" s="3"/>
      <c r="M129" s="3"/>
      <c r="N129" s="32">
        <f t="shared" si="6"/>
        <v>2450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3"/>
      <c r="B130" s="9"/>
      <c r="C130" s="3"/>
      <c r="D130" s="33"/>
      <c r="E130" s="32"/>
      <c r="F130" s="32"/>
      <c r="G130" s="34"/>
      <c r="H130" s="32">
        <f t="shared" si="2"/>
        <v>2794</v>
      </c>
      <c r="I130" s="32">
        <f t="shared" si="3"/>
        <v>2641</v>
      </c>
      <c r="J130" s="32">
        <f t="shared" si="7"/>
        <v>2831</v>
      </c>
      <c r="K130" s="32">
        <f t="shared" si="5"/>
        <v>2866.12</v>
      </c>
      <c r="L130" s="3"/>
      <c r="M130" s="3"/>
      <c r="N130" s="32">
        <f t="shared" si="6"/>
        <v>2650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3"/>
      <c r="B131" s="9"/>
      <c r="C131" s="3"/>
      <c r="D131" s="33"/>
      <c r="E131" s="32"/>
      <c r="F131" s="32"/>
      <c r="G131" s="34"/>
      <c r="H131" s="32">
        <f t="shared" si="2"/>
        <v>2816</v>
      </c>
      <c r="I131" s="32">
        <f t="shared" si="3"/>
        <v>2880</v>
      </c>
      <c r="J131" s="32">
        <f t="shared" si="7"/>
        <v>2856.4</v>
      </c>
      <c r="K131" s="32">
        <f t="shared" si="5"/>
        <v>2886.36</v>
      </c>
      <c r="L131" s="3"/>
      <c r="M131" s="3"/>
      <c r="N131" s="32">
        <f t="shared" si="6"/>
        <v>2900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3"/>
      <c r="B132" s="9"/>
      <c r="C132" s="3"/>
      <c r="D132" s="33"/>
      <c r="E132" s="32"/>
      <c r="F132" s="32"/>
      <c r="G132" s="34"/>
      <c r="H132" s="32">
        <f t="shared" si="2"/>
        <v>2860</v>
      </c>
      <c r="I132" s="32">
        <f t="shared" si="3"/>
        <v>2990</v>
      </c>
      <c r="J132" s="32">
        <f t="shared" si="7"/>
        <v>2853.2</v>
      </c>
      <c r="K132" s="32">
        <f t="shared" si="5"/>
        <v>2886.72</v>
      </c>
      <c r="L132" s="3"/>
      <c r="M132" s="3"/>
      <c r="N132" s="32">
        <f t="shared" si="6"/>
        <v>3000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3"/>
      <c r="B133" s="9"/>
      <c r="C133" s="3"/>
      <c r="D133" s="33"/>
      <c r="E133" s="32"/>
      <c r="F133" s="32"/>
      <c r="G133" s="34"/>
      <c r="H133" s="32">
        <f t="shared" si="2"/>
        <v>2800</v>
      </c>
      <c r="I133" s="32">
        <f t="shared" si="3"/>
        <v>2616</v>
      </c>
      <c r="J133" s="32">
        <f t="shared" si="7"/>
        <v>2715.4</v>
      </c>
      <c r="K133" s="32">
        <f t="shared" si="5"/>
        <v>2833.28</v>
      </c>
      <c r="L133" s="3"/>
      <c r="M133" s="3"/>
      <c r="N133" s="32">
        <f t="shared" si="6"/>
        <v>2600</v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3"/>
      <c r="B134" s="9"/>
      <c r="C134" s="3"/>
      <c r="D134" s="33"/>
      <c r="E134" s="32"/>
      <c r="F134" s="32"/>
      <c r="G134" s="34"/>
      <c r="H134" s="32">
        <f t="shared" si="2"/>
        <v>2818</v>
      </c>
      <c r="I134" s="32">
        <f t="shared" si="3"/>
        <v>2870</v>
      </c>
      <c r="J134" s="32">
        <f t="shared" si="7"/>
        <v>2799.4</v>
      </c>
      <c r="K134" s="32">
        <f t="shared" si="5"/>
        <v>2811.08</v>
      </c>
      <c r="L134" s="3"/>
      <c r="M134" s="3"/>
      <c r="N134" s="32">
        <f t="shared" si="6"/>
        <v>2850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3"/>
      <c r="B135" s="9"/>
      <c r="C135" s="3"/>
      <c r="D135" s="33"/>
      <c r="E135" s="32"/>
      <c r="F135" s="32"/>
      <c r="G135" s="34"/>
      <c r="H135" s="32">
        <f t="shared" si="2"/>
        <v>2880</v>
      </c>
      <c r="I135" s="32">
        <f t="shared" si="3"/>
        <v>3063</v>
      </c>
      <c r="J135" s="32">
        <f t="shared" si="7"/>
        <v>2883.8</v>
      </c>
      <c r="K135" s="32">
        <f t="shared" si="5"/>
        <v>2821.64</v>
      </c>
      <c r="L135" s="3"/>
      <c r="M135" s="3"/>
      <c r="N135" s="32">
        <f t="shared" si="6"/>
        <v>3050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3"/>
      <c r="B136" s="9"/>
      <c r="C136" s="3"/>
      <c r="D136" s="33"/>
      <c r="E136" s="32"/>
      <c r="F136" s="32"/>
      <c r="G136" s="34"/>
      <c r="H136" s="32">
        <f t="shared" si="2"/>
        <v>2835</v>
      </c>
      <c r="I136" s="32">
        <f t="shared" si="3"/>
        <v>2690</v>
      </c>
      <c r="J136" s="32">
        <f t="shared" si="7"/>
        <v>2845.8</v>
      </c>
      <c r="K136" s="32">
        <f t="shared" si="5"/>
        <v>2819.52</v>
      </c>
      <c r="L136" s="3"/>
      <c r="M136" s="3"/>
      <c r="N136" s="32">
        <f t="shared" si="6"/>
        <v>2700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3"/>
      <c r="B137" s="9"/>
      <c r="C137" s="3"/>
      <c r="D137" s="33"/>
      <c r="E137" s="32"/>
      <c r="F137" s="32"/>
      <c r="G137" s="34"/>
      <c r="H137" s="32">
        <f t="shared" si="2"/>
        <v>2832</v>
      </c>
      <c r="I137" s="32">
        <f t="shared" si="3"/>
        <v>2821</v>
      </c>
      <c r="J137" s="32">
        <f t="shared" si="7"/>
        <v>2812</v>
      </c>
      <c r="K137" s="32">
        <f t="shared" si="5"/>
        <v>2811.28</v>
      </c>
      <c r="L137" s="3"/>
      <c r="M137" s="3"/>
      <c r="N137" s="32">
        <f t="shared" si="6"/>
        <v>2800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3"/>
      <c r="B138" s="9"/>
      <c r="C138" s="3"/>
      <c r="D138" s="33"/>
      <c r="E138" s="32"/>
      <c r="F138" s="32"/>
      <c r="G138" s="34"/>
      <c r="H138" s="32">
        <f t="shared" si="2"/>
        <v>2809</v>
      </c>
      <c r="I138" s="32">
        <f t="shared" si="3"/>
        <v>2734</v>
      </c>
      <c r="J138" s="32">
        <f t="shared" si="7"/>
        <v>2835.6</v>
      </c>
      <c r="K138" s="32">
        <f t="shared" si="5"/>
        <v>2835.32</v>
      </c>
      <c r="L138" s="3"/>
      <c r="M138" s="3"/>
      <c r="N138" s="32">
        <f t="shared" si="6"/>
        <v>2750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3"/>
      <c r="B139" s="9"/>
      <c r="C139" s="3"/>
      <c r="D139" s="33"/>
      <c r="E139" s="32"/>
      <c r="F139" s="32"/>
      <c r="G139" s="34"/>
      <c r="H139" s="32">
        <f t="shared" si="2"/>
        <v>2817</v>
      </c>
      <c r="I139" s="32">
        <f t="shared" si="3"/>
        <v>2839</v>
      </c>
      <c r="J139" s="32">
        <f t="shared" si="7"/>
        <v>2829.4</v>
      </c>
      <c r="K139" s="32">
        <f t="shared" si="5"/>
        <v>2841.32</v>
      </c>
      <c r="L139" s="3"/>
      <c r="M139" s="3"/>
      <c r="N139" s="32">
        <f t="shared" si="6"/>
        <v>2850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3"/>
      <c r="B140" s="9"/>
      <c r="C140" s="3"/>
      <c r="D140" s="33"/>
      <c r="E140" s="32"/>
      <c r="F140" s="32"/>
      <c r="G140" s="34"/>
      <c r="H140" s="32">
        <f t="shared" si="2"/>
        <v>2888</v>
      </c>
      <c r="I140" s="32">
        <f t="shared" si="3"/>
        <v>3106</v>
      </c>
      <c r="J140" s="32">
        <f t="shared" si="7"/>
        <v>2838</v>
      </c>
      <c r="K140" s="32">
        <f t="shared" si="5"/>
        <v>2832.16</v>
      </c>
      <c r="L140" s="3"/>
      <c r="M140" s="3"/>
      <c r="N140" s="32">
        <f t="shared" si="6"/>
        <v>3100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3"/>
      <c r="B141" s="9"/>
      <c r="C141" s="3"/>
      <c r="D141" s="33"/>
      <c r="E141" s="32"/>
      <c r="F141" s="32"/>
      <c r="G141" s="3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3"/>
      <c r="B142" s="9"/>
      <c r="C142" s="3"/>
      <c r="D142" s="33"/>
      <c r="E142" s="32"/>
      <c r="F142" s="32"/>
      <c r="G142" s="3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3"/>
      <c r="B143" s="9"/>
      <c r="C143" s="3"/>
      <c r="D143" s="33"/>
      <c r="E143" s="32"/>
      <c r="F143" s="32"/>
      <c r="G143" s="3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3"/>
      <c r="B144" s="9"/>
      <c r="C144" s="3"/>
      <c r="D144" s="33"/>
      <c r="E144" s="32"/>
      <c r="F144" s="32"/>
      <c r="G144" s="3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3"/>
      <c r="B145" s="9"/>
      <c r="C145" s="3"/>
      <c r="D145" s="33"/>
      <c r="E145" s="32"/>
      <c r="F145" s="32"/>
      <c r="G145" s="3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3"/>
      <c r="B146" s="9"/>
      <c r="C146" s="3"/>
      <c r="D146" s="33"/>
      <c r="E146" s="32"/>
      <c r="F146" s="32"/>
      <c r="G146" s="3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3"/>
      <c r="B147" s="9"/>
      <c r="C147" s="3"/>
      <c r="D147" s="33"/>
      <c r="E147" s="32"/>
      <c r="F147" s="32"/>
      <c r="G147" s="3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3"/>
      <c r="B148" s="9"/>
      <c r="C148" s="3"/>
      <c r="D148" s="33"/>
      <c r="E148" s="32"/>
      <c r="F148" s="32"/>
      <c r="G148" s="3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3"/>
      <c r="B149" s="9"/>
      <c r="C149" s="3"/>
      <c r="D149" s="33"/>
      <c r="E149" s="32"/>
      <c r="F149" s="32"/>
      <c r="G149" s="3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3"/>
      <c r="B150" s="9"/>
      <c r="C150" s="3"/>
      <c r="D150" s="33"/>
      <c r="E150" s="32"/>
      <c r="F150" s="32"/>
      <c r="G150" s="3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3"/>
      <c r="B151" s="9"/>
      <c r="C151" s="3"/>
      <c r="D151" s="33"/>
      <c r="E151" s="32"/>
      <c r="F151" s="32"/>
      <c r="G151" s="3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3"/>
      <c r="B152" s="9"/>
      <c r="C152" s="3"/>
      <c r="D152" s="33"/>
      <c r="E152" s="32"/>
      <c r="F152" s="32"/>
      <c r="G152" s="3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3"/>
      <c r="B153" s="9"/>
      <c r="C153" s="3"/>
      <c r="D153" s="33"/>
      <c r="E153" s="32"/>
      <c r="F153" s="32"/>
      <c r="G153" s="3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3"/>
      <c r="B154" s="9"/>
      <c r="C154" s="3"/>
      <c r="D154" s="33"/>
      <c r="E154" s="32"/>
      <c r="F154" s="32"/>
      <c r="G154" s="3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3"/>
      <c r="B155" s="9"/>
      <c r="C155" s="3"/>
      <c r="D155" s="33"/>
      <c r="E155" s="32"/>
      <c r="F155" s="32"/>
      <c r="G155" s="3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3"/>
      <c r="B156" s="9"/>
      <c r="C156" s="3"/>
      <c r="D156" s="33"/>
      <c r="E156" s="32"/>
      <c r="F156" s="32"/>
      <c r="G156" s="3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3"/>
      <c r="B157" s="9"/>
      <c r="C157" s="3"/>
      <c r="D157" s="33"/>
      <c r="E157" s="32"/>
      <c r="F157" s="32"/>
      <c r="G157" s="3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3"/>
      <c r="B158" s="9"/>
      <c r="C158" s="3"/>
      <c r="D158" s="33"/>
      <c r="E158" s="32"/>
      <c r="F158" s="32"/>
      <c r="G158" s="3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3"/>
      <c r="B159" s="9"/>
      <c r="C159" s="3"/>
      <c r="D159" s="33"/>
      <c r="E159" s="32"/>
      <c r="F159" s="32"/>
      <c r="G159" s="3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3"/>
      <c r="B160" s="9"/>
      <c r="C160" s="3"/>
      <c r="D160" s="33"/>
      <c r="E160" s="32"/>
      <c r="F160" s="32"/>
      <c r="G160" s="3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3"/>
      <c r="B161" s="9"/>
      <c r="C161" s="3"/>
      <c r="D161" s="33"/>
      <c r="E161" s="32"/>
      <c r="F161" s="32"/>
      <c r="G161" s="3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3"/>
      <c r="B162" s="9"/>
      <c r="C162" s="3"/>
      <c r="D162" s="33"/>
      <c r="E162" s="32"/>
      <c r="F162" s="32"/>
      <c r="G162" s="3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3"/>
      <c r="B163" s="9"/>
      <c r="C163" s="3"/>
      <c r="D163" s="33"/>
      <c r="E163" s="32"/>
      <c r="F163" s="32"/>
      <c r="G163" s="3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3"/>
      <c r="B164" s="9"/>
      <c r="C164" s="3"/>
      <c r="D164" s="33"/>
      <c r="E164" s="32"/>
      <c r="F164" s="32"/>
      <c r="G164" s="3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3"/>
      <c r="B165" s="9"/>
      <c r="C165" s="3"/>
      <c r="D165" s="33"/>
      <c r="E165" s="32"/>
      <c r="F165" s="32"/>
      <c r="G165" s="3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3"/>
      <c r="B166" s="9"/>
      <c r="C166" s="3"/>
      <c r="D166" s="33"/>
      <c r="E166" s="32"/>
      <c r="F166" s="32"/>
      <c r="G166" s="3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3"/>
      <c r="B167" s="9"/>
      <c r="C167" s="3"/>
      <c r="D167" s="33"/>
      <c r="E167" s="32"/>
      <c r="F167" s="32"/>
      <c r="G167" s="3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3"/>
      <c r="B168" s="9"/>
      <c r="C168" s="3"/>
      <c r="D168" s="33"/>
      <c r="E168" s="32"/>
      <c r="F168" s="32"/>
      <c r="G168" s="3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3"/>
      <c r="B169" s="9"/>
      <c r="C169" s="3"/>
      <c r="D169" s="33"/>
      <c r="E169" s="32"/>
      <c r="F169" s="32"/>
      <c r="G169" s="3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3"/>
      <c r="B170" s="9"/>
      <c r="C170" s="3"/>
      <c r="D170" s="33"/>
      <c r="E170" s="32"/>
      <c r="F170" s="32"/>
      <c r="G170" s="3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3"/>
      <c r="B171" s="9"/>
      <c r="C171" s="3"/>
      <c r="D171" s="33"/>
      <c r="E171" s="32"/>
      <c r="F171" s="32"/>
      <c r="G171" s="3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3"/>
      <c r="B172" s="9"/>
      <c r="C172" s="3"/>
      <c r="D172" s="33"/>
      <c r="E172" s="32"/>
      <c r="F172" s="32"/>
      <c r="G172" s="3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3"/>
      <c r="B173" s="9"/>
      <c r="C173" s="3"/>
      <c r="D173" s="33"/>
      <c r="E173" s="32"/>
      <c r="F173" s="32"/>
      <c r="G173" s="3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3"/>
      <c r="B174" s="9"/>
      <c r="C174" s="3"/>
      <c r="D174" s="33"/>
      <c r="E174" s="32"/>
      <c r="F174" s="32"/>
      <c r="G174" s="3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3"/>
      <c r="B175" s="9"/>
      <c r="C175" s="3"/>
      <c r="D175" s="33"/>
      <c r="E175" s="32"/>
      <c r="F175" s="32"/>
      <c r="G175" s="3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3"/>
      <c r="B176" s="9"/>
      <c r="C176" s="3"/>
      <c r="D176" s="33"/>
      <c r="E176" s="32"/>
      <c r="F176" s="32"/>
      <c r="G176" s="3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3"/>
      <c r="B177" s="9"/>
      <c r="C177" s="3"/>
      <c r="D177" s="33"/>
      <c r="E177" s="32"/>
      <c r="F177" s="32"/>
      <c r="G177" s="3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3"/>
      <c r="B178" s="9"/>
      <c r="C178" s="3"/>
      <c r="D178" s="33"/>
      <c r="E178" s="32"/>
      <c r="F178" s="32"/>
      <c r="G178" s="3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3"/>
      <c r="B179" s="9"/>
      <c r="C179" s="3"/>
      <c r="D179" s="33"/>
      <c r="E179" s="32"/>
      <c r="F179" s="32"/>
      <c r="G179" s="3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3"/>
      <c r="B180" s="9"/>
      <c r="C180" s="3"/>
      <c r="D180" s="33"/>
      <c r="E180" s="32"/>
      <c r="F180" s="32"/>
      <c r="G180" s="3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3"/>
      <c r="B181" s="9"/>
      <c r="C181" s="3"/>
      <c r="D181" s="33"/>
      <c r="E181" s="32"/>
      <c r="F181" s="32"/>
      <c r="G181" s="3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3"/>
      <c r="B182" s="9"/>
      <c r="C182" s="3"/>
      <c r="D182" s="33"/>
      <c r="E182" s="32"/>
      <c r="F182" s="32"/>
      <c r="G182" s="3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3"/>
      <c r="B183" s="9"/>
      <c r="C183" s="3"/>
      <c r="D183" s="33"/>
      <c r="E183" s="32"/>
      <c r="F183" s="32"/>
      <c r="G183" s="3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3"/>
      <c r="B184" s="9"/>
      <c r="C184" s="3"/>
      <c r="D184" s="33"/>
      <c r="E184" s="32"/>
      <c r="F184" s="32"/>
      <c r="G184" s="3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3"/>
      <c r="B185" s="9"/>
      <c r="C185" s="3"/>
      <c r="D185" s="33"/>
      <c r="E185" s="32"/>
      <c r="F185" s="32"/>
      <c r="G185" s="3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3"/>
      <c r="B186" s="9"/>
      <c r="C186" s="3"/>
      <c r="D186" s="33"/>
      <c r="E186" s="32"/>
      <c r="F186" s="32"/>
      <c r="G186" s="3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3"/>
      <c r="B187" s="9"/>
      <c r="C187" s="3"/>
      <c r="D187" s="33"/>
      <c r="E187" s="32"/>
      <c r="F187" s="32"/>
      <c r="G187" s="3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3"/>
      <c r="B188" s="9"/>
      <c r="C188" s="3"/>
      <c r="D188" s="33"/>
      <c r="E188" s="32"/>
      <c r="F188" s="32"/>
      <c r="G188" s="3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3"/>
      <c r="B189" s="9"/>
      <c r="C189" s="3"/>
      <c r="D189" s="33"/>
      <c r="E189" s="32"/>
      <c r="F189" s="32"/>
      <c r="G189" s="3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3"/>
      <c r="B190" s="9"/>
      <c r="C190" s="3"/>
      <c r="D190" s="33"/>
      <c r="E190" s="32"/>
      <c r="F190" s="32"/>
      <c r="G190" s="3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3"/>
      <c r="B191" s="9"/>
      <c r="C191" s="3"/>
      <c r="D191" s="33"/>
      <c r="E191" s="32"/>
      <c r="F191" s="32"/>
      <c r="G191" s="3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3"/>
      <c r="B192" s="9"/>
      <c r="C192" s="3"/>
      <c r="D192" s="33"/>
      <c r="E192" s="32"/>
      <c r="F192" s="32"/>
      <c r="G192" s="3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3"/>
      <c r="B193" s="9"/>
      <c r="C193" s="3"/>
      <c r="D193" s="33"/>
      <c r="E193" s="32"/>
      <c r="F193" s="32"/>
      <c r="G193" s="3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3"/>
      <c r="B194" s="9"/>
      <c r="C194" s="3"/>
      <c r="D194" s="33"/>
      <c r="E194" s="32"/>
      <c r="F194" s="32"/>
      <c r="G194" s="3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3"/>
      <c r="B195" s="9"/>
      <c r="C195" s="3"/>
      <c r="D195" s="33"/>
      <c r="E195" s="32"/>
      <c r="F195" s="32"/>
      <c r="G195" s="3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3"/>
      <c r="B196" s="9"/>
      <c r="C196" s="3"/>
      <c r="D196" s="33"/>
      <c r="E196" s="32"/>
      <c r="F196" s="32"/>
      <c r="G196" s="3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3"/>
      <c r="B197" s="9"/>
      <c r="C197" s="3"/>
      <c r="D197" s="33"/>
      <c r="E197" s="32"/>
      <c r="F197" s="32"/>
      <c r="G197" s="3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3"/>
      <c r="B198" s="9"/>
      <c r="C198" s="3"/>
      <c r="D198" s="33"/>
      <c r="E198" s="32"/>
      <c r="F198" s="32"/>
      <c r="G198" s="3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3"/>
      <c r="B199" s="9"/>
      <c r="C199" s="3"/>
      <c r="D199" s="33"/>
      <c r="E199" s="32"/>
      <c r="F199" s="32"/>
      <c r="G199" s="3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3"/>
      <c r="B200" s="9"/>
      <c r="C200" s="3"/>
      <c r="D200" s="33"/>
      <c r="E200" s="32"/>
      <c r="F200" s="32"/>
      <c r="G200" s="3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3"/>
      <c r="B201" s="9"/>
      <c r="C201" s="3"/>
      <c r="D201" s="33"/>
      <c r="E201" s="32"/>
      <c r="F201" s="32"/>
      <c r="G201" s="3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3"/>
      <c r="B202" s="9"/>
      <c r="C202" s="3"/>
      <c r="D202" s="33"/>
      <c r="E202" s="32"/>
      <c r="F202" s="32"/>
      <c r="G202" s="3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3"/>
      <c r="B203" s="9"/>
      <c r="C203" s="3"/>
      <c r="D203" s="33"/>
      <c r="E203" s="32"/>
      <c r="F203" s="32"/>
      <c r="G203" s="3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3"/>
      <c r="B204" s="9"/>
      <c r="C204" s="3"/>
      <c r="D204" s="33"/>
      <c r="E204" s="32"/>
      <c r="F204" s="32"/>
      <c r="G204" s="3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3"/>
      <c r="B205" s="9"/>
      <c r="C205" s="3"/>
      <c r="D205" s="33"/>
      <c r="E205" s="32"/>
      <c r="F205" s="32"/>
      <c r="G205" s="3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3"/>
      <c r="B206" s="9"/>
      <c r="C206" s="3"/>
      <c r="D206" s="33"/>
      <c r="E206" s="32"/>
      <c r="F206" s="32"/>
      <c r="G206" s="3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3"/>
      <c r="B207" s="9"/>
      <c r="C207" s="3"/>
      <c r="D207" s="33"/>
      <c r="E207" s="32"/>
      <c r="F207" s="32"/>
      <c r="G207" s="3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3"/>
      <c r="B208" s="9"/>
      <c r="C208" s="3"/>
      <c r="D208" s="33"/>
      <c r="E208" s="32"/>
      <c r="F208" s="32"/>
      <c r="G208" s="3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3"/>
      <c r="B209" s="9"/>
      <c r="C209" s="3"/>
      <c r="D209" s="33"/>
      <c r="E209" s="32"/>
      <c r="F209" s="32"/>
      <c r="G209" s="3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3"/>
      <c r="B210" s="9"/>
      <c r="C210" s="3"/>
      <c r="D210" s="33"/>
      <c r="E210" s="32"/>
      <c r="F210" s="32"/>
      <c r="G210" s="3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3"/>
      <c r="B211" s="9"/>
      <c r="C211" s="3"/>
      <c r="D211" s="33"/>
      <c r="E211" s="32"/>
      <c r="F211" s="32"/>
      <c r="G211" s="3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3"/>
      <c r="B212" s="9"/>
      <c r="C212" s="3"/>
      <c r="D212" s="33"/>
      <c r="E212" s="32"/>
      <c r="F212" s="32"/>
      <c r="G212" s="3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3"/>
      <c r="B213" s="9"/>
      <c r="C213" s="3"/>
      <c r="D213" s="33"/>
      <c r="E213" s="32"/>
      <c r="F213" s="32"/>
      <c r="G213" s="3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3"/>
      <c r="B214" s="9"/>
      <c r="C214" s="3"/>
      <c r="D214" s="33"/>
      <c r="E214" s="32"/>
      <c r="F214" s="32"/>
      <c r="G214" s="3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3"/>
      <c r="B215" s="9"/>
      <c r="C215" s="3"/>
      <c r="D215" s="33"/>
      <c r="E215" s="32"/>
      <c r="F215" s="32"/>
      <c r="G215" s="3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3"/>
      <c r="B216" s="9"/>
      <c r="C216" s="3"/>
      <c r="D216" s="33"/>
      <c r="E216" s="32"/>
      <c r="F216" s="32"/>
      <c r="G216" s="3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3"/>
      <c r="B217" s="9"/>
      <c r="C217" s="3"/>
      <c r="D217" s="33"/>
      <c r="E217" s="32"/>
      <c r="F217" s="32"/>
      <c r="G217" s="3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3"/>
      <c r="B218" s="9"/>
      <c r="C218" s="3"/>
      <c r="D218" s="33"/>
      <c r="E218" s="32"/>
      <c r="F218" s="32"/>
      <c r="G218" s="3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3"/>
      <c r="B219" s="9"/>
      <c r="C219" s="3"/>
      <c r="D219" s="33"/>
      <c r="E219" s="32"/>
      <c r="F219" s="32"/>
      <c r="G219" s="3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3"/>
      <c r="B220" s="9"/>
      <c r="C220" s="3"/>
      <c r="D220" s="33"/>
      <c r="E220" s="32"/>
      <c r="F220" s="32"/>
      <c r="G220" s="3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3"/>
      <c r="B221" s="9"/>
      <c r="C221" s="3"/>
      <c r="D221" s="33"/>
      <c r="E221" s="32"/>
      <c r="F221" s="32"/>
      <c r="G221" s="3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3"/>
      <c r="B222" s="9"/>
      <c r="C222" s="3"/>
      <c r="D222" s="33"/>
      <c r="E222" s="32"/>
      <c r="F222" s="32"/>
      <c r="G222" s="3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3"/>
      <c r="B223" s="9"/>
      <c r="C223" s="3"/>
      <c r="D223" s="33"/>
      <c r="E223" s="32"/>
      <c r="F223" s="32"/>
      <c r="G223" s="3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3"/>
      <c r="B224" s="9"/>
      <c r="C224" s="3"/>
      <c r="D224" s="33"/>
      <c r="E224" s="32"/>
      <c r="F224" s="32"/>
      <c r="G224" s="3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3"/>
      <c r="B225" s="9"/>
      <c r="C225" s="3"/>
      <c r="D225" s="33"/>
      <c r="E225" s="32"/>
      <c r="F225" s="32"/>
      <c r="G225" s="3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3"/>
      <c r="B226" s="9"/>
      <c r="C226" s="3"/>
      <c r="D226" s="33"/>
      <c r="E226" s="32"/>
      <c r="F226" s="32"/>
      <c r="G226" s="3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3"/>
      <c r="B227" s="9"/>
      <c r="C227" s="3"/>
      <c r="D227" s="33"/>
      <c r="E227" s="32"/>
      <c r="F227" s="32"/>
      <c r="G227" s="3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3"/>
      <c r="B228" s="9"/>
      <c r="C228" s="3"/>
      <c r="D228" s="33"/>
      <c r="E228" s="32"/>
      <c r="F228" s="32"/>
      <c r="G228" s="3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3"/>
      <c r="B229" s="9"/>
      <c r="C229" s="3"/>
      <c r="D229" s="33"/>
      <c r="E229" s="32"/>
      <c r="F229" s="32"/>
      <c r="G229" s="3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3"/>
      <c r="B230" s="9"/>
      <c r="C230" s="3"/>
      <c r="D230" s="33"/>
      <c r="E230" s="32"/>
      <c r="F230" s="32"/>
      <c r="G230" s="3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3"/>
      <c r="B231" s="9"/>
      <c r="C231" s="3"/>
      <c r="D231" s="33"/>
      <c r="E231" s="32"/>
      <c r="F231" s="32"/>
      <c r="G231" s="3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3"/>
      <c r="B232" s="9"/>
      <c r="C232" s="3"/>
      <c r="D232" s="33"/>
      <c r="E232" s="32"/>
      <c r="F232" s="32"/>
      <c r="G232" s="3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3"/>
      <c r="B233" s="9"/>
      <c r="C233" s="3"/>
      <c r="D233" s="33"/>
      <c r="E233" s="32"/>
      <c r="F233" s="32"/>
      <c r="G233" s="3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3"/>
      <c r="B234" s="9"/>
      <c r="C234" s="3"/>
      <c r="D234" s="33"/>
      <c r="E234" s="32"/>
      <c r="F234" s="32"/>
      <c r="G234" s="3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3"/>
      <c r="B235" s="9"/>
      <c r="C235" s="3"/>
      <c r="D235" s="33"/>
      <c r="E235" s="32"/>
      <c r="F235" s="32"/>
      <c r="G235" s="3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3"/>
      <c r="B236" s="9"/>
      <c r="C236" s="3"/>
      <c r="D236" s="33"/>
      <c r="E236" s="32"/>
      <c r="F236" s="32"/>
      <c r="G236" s="3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3"/>
      <c r="B237" s="9"/>
      <c r="C237" s="3"/>
      <c r="D237" s="33"/>
      <c r="E237" s="32"/>
      <c r="F237" s="32"/>
      <c r="G237" s="3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3"/>
      <c r="B238" s="9"/>
      <c r="C238" s="3"/>
      <c r="D238" s="33"/>
      <c r="E238" s="32"/>
      <c r="F238" s="32"/>
      <c r="G238" s="3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3"/>
      <c r="B239" s="9"/>
      <c r="C239" s="3"/>
      <c r="D239" s="33"/>
      <c r="E239" s="32"/>
      <c r="F239" s="32"/>
      <c r="G239" s="3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3"/>
      <c r="B240" s="9"/>
      <c r="C240" s="3"/>
      <c r="D240" s="33"/>
      <c r="E240" s="32"/>
      <c r="F240" s="32"/>
      <c r="G240" s="3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3"/>
      <c r="B241" s="9"/>
      <c r="C241" s="3"/>
      <c r="D241" s="33"/>
      <c r="E241" s="32"/>
      <c r="F241" s="32"/>
      <c r="G241" s="3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3"/>
      <c r="B242" s="9"/>
      <c r="C242" s="3"/>
      <c r="D242" s="33"/>
      <c r="E242" s="32"/>
      <c r="F242" s="32"/>
      <c r="G242" s="3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3"/>
      <c r="B243" s="9"/>
      <c r="C243" s="3"/>
      <c r="D243" s="33"/>
      <c r="E243" s="32"/>
      <c r="F243" s="32"/>
      <c r="G243" s="3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3"/>
      <c r="B244" s="9"/>
      <c r="C244" s="3"/>
      <c r="D244" s="33"/>
      <c r="E244" s="32"/>
      <c r="F244" s="32"/>
      <c r="G244" s="3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3"/>
      <c r="B245" s="9"/>
      <c r="C245" s="3"/>
      <c r="D245" s="33"/>
      <c r="E245" s="32"/>
      <c r="F245" s="32"/>
      <c r="G245" s="3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3"/>
      <c r="B246" s="9"/>
      <c r="C246" s="3"/>
      <c r="D246" s="33"/>
      <c r="E246" s="32"/>
      <c r="F246" s="32"/>
      <c r="G246" s="3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3"/>
      <c r="B247" s="9"/>
      <c r="C247" s="3"/>
      <c r="D247" s="33"/>
      <c r="E247" s="32"/>
      <c r="F247" s="32"/>
      <c r="G247" s="3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3"/>
      <c r="B248" s="9"/>
      <c r="C248" s="3"/>
      <c r="D248" s="33"/>
      <c r="E248" s="32"/>
      <c r="F248" s="32"/>
      <c r="G248" s="3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3"/>
      <c r="B249" s="9"/>
      <c r="C249" s="3"/>
      <c r="D249" s="33"/>
      <c r="E249" s="32"/>
      <c r="F249" s="32"/>
      <c r="G249" s="3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3"/>
      <c r="B250" s="9"/>
      <c r="C250" s="3"/>
      <c r="D250" s="33"/>
      <c r="E250" s="32"/>
      <c r="F250" s="32"/>
      <c r="G250" s="3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3"/>
      <c r="B251" s="9"/>
      <c r="C251" s="3"/>
      <c r="D251" s="33"/>
      <c r="E251" s="32"/>
      <c r="F251" s="32"/>
      <c r="G251" s="3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3"/>
      <c r="B252" s="9"/>
      <c r="C252" s="3"/>
      <c r="D252" s="33"/>
      <c r="E252" s="32"/>
      <c r="F252" s="32"/>
      <c r="G252" s="3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3"/>
      <c r="B253" s="9"/>
      <c r="C253" s="3"/>
      <c r="D253" s="33"/>
      <c r="E253" s="32"/>
      <c r="F253" s="32"/>
      <c r="G253" s="3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3"/>
      <c r="B254" s="9"/>
      <c r="C254" s="3"/>
      <c r="D254" s="33"/>
      <c r="E254" s="32"/>
      <c r="F254" s="32"/>
      <c r="G254" s="3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3"/>
      <c r="B255" s="9"/>
      <c r="C255" s="3"/>
      <c r="D255" s="33"/>
      <c r="E255" s="32"/>
      <c r="F255" s="32"/>
      <c r="G255" s="3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3"/>
      <c r="B256" s="9"/>
      <c r="C256" s="3"/>
      <c r="D256" s="33"/>
      <c r="E256" s="32"/>
      <c r="F256" s="32"/>
      <c r="G256" s="3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3"/>
      <c r="B257" s="9"/>
      <c r="C257" s="3"/>
      <c r="D257" s="33"/>
      <c r="E257" s="32"/>
      <c r="F257" s="32"/>
      <c r="G257" s="3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3"/>
      <c r="B258" s="9"/>
      <c r="C258" s="3"/>
      <c r="D258" s="33"/>
      <c r="E258" s="32"/>
      <c r="F258" s="32"/>
      <c r="G258" s="3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3"/>
      <c r="B259" s="9"/>
      <c r="C259" s="3"/>
      <c r="D259" s="33"/>
      <c r="E259" s="32"/>
      <c r="F259" s="32"/>
      <c r="G259" s="3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3"/>
      <c r="B260" s="9"/>
      <c r="C260" s="3"/>
      <c r="D260" s="33"/>
      <c r="E260" s="32"/>
      <c r="F260" s="32"/>
      <c r="G260" s="3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3"/>
      <c r="B261" s="9"/>
      <c r="C261" s="3"/>
      <c r="D261" s="33"/>
      <c r="E261" s="32"/>
      <c r="F261" s="32"/>
      <c r="G261" s="3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3"/>
      <c r="B262" s="9"/>
      <c r="C262" s="3"/>
      <c r="D262" s="33"/>
      <c r="E262" s="32"/>
      <c r="F262" s="32"/>
      <c r="G262" s="3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3"/>
      <c r="B263" s="9"/>
      <c r="C263" s="3"/>
      <c r="D263" s="33"/>
      <c r="E263" s="32"/>
      <c r="F263" s="32"/>
      <c r="G263" s="3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3"/>
      <c r="B264" s="9"/>
      <c r="C264" s="3"/>
      <c r="D264" s="33"/>
      <c r="E264" s="32"/>
      <c r="F264" s="32"/>
      <c r="G264" s="3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3"/>
      <c r="B265" s="9"/>
      <c r="C265" s="3"/>
      <c r="D265" s="33"/>
      <c r="E265" s="32"/>
      <c r="F265" s="32"/>
      <c r="G265" s="3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3"/>
      <c r="B266" s="9"/>
      <c r="C266" s="3"/>
      <c r="D266" s="33"/>
      <c r="E266" s="32"/>
      <c r="F266" s="32"/>
      <c r="G266" s="3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3"/>
      <c r="B267" s="9"/>
      <c r="C267" s="3"/>
      <c r="D267" s="33"/>
      <c r="E267" s="32"/>
      <c r="F267" s="32"/>
      <c r="G267" s="3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3"/>
      <c r="B268" s="9"/>
      <c r="C268" s="3"/>
      <c r="D268" s="33"/>
      <c r="E268" s="32"/>
      <c r="F268" s="32"/>
      <c r="G268" s="3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3"/>
      <c r="B269" s="9"/>
      <c r="C269" s="3"/>
      <c r="D269" s="33"/>
      <c r="E269" s="32"/>
      <c r="F269" s="32"/>
      <c r="G269" s="3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3"/>
      <c r="B270" s="9"/>
      <c r="C270" s="3"/>
      <c r="D270" s="33"/>
      <c r="E270" s="32"/>
      <c r="F270" s="32"/>
      <c r="G270" s="3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3"/>
      <c r="B271" s="9"/>
      <c r="C271" s="3"/>
      <c r="D271" s="33"/>
      <c r="E271" s="32"/>
      <c r="F271" s="32"/>
      <c r="G271" s="3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3"/>
      <c r="B272" s="9"/>
      <c r="C272" s="3"/>
      <c r="D272" s="33"/>
      <c r="E272" s="32"/>
      <c r="F272" s="32"/>
      <c r="G272" s="3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3"/>
      <c r="B273" s="9"/>
      <c r="C273" s="3"/>
      <c r="D273" s="33"/>
      <c r="E273" s="32"/>
      <c r="F273" s="32"/>
      <c r="G273" s="3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3"/>
      <c r="B274" s="9"/>
      <c r="C274" s="3"/>
      <c r="D274" s="33"/>
      <c r="E274" s="32"/>
      <c r="F274" s="32"/>
      <c r="G274" s="3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3"/>
      <c r="B275" s="9"/>
      <c r="C275" s="3"/>
      <c r="D275" s="33"/>
      <c r="E275" s="32"/>
      <c r="F275" s="32"/>
      <c r="G275" s="3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3"/>
      <c r="B276" s="9"/>
      <c r="C276" s="3"/>
      <c r="D276" s="33"/>
      <c r="E276" s="32"/>
      <c r="F276" s="32"/>
      <c r="G276" s="3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3"/>
      <c r="B277" s="9"/>
      <c r="C277" s="3"/>
      <c r="D277" s="33"/>
      <c r="E277" s="32"/>
      <c r="F277" s="32"/>
      <c r="G277" s="3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3"/>
      <c r="B278" s="9"/>
      <c r="C278" s="3"/>
      <c r="D278" s="33"/>
      <c r="E278" s="32"/>
      <c r="F278" s="32"/>
      <c r="G278" s="3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3"/>
      <c r="B279" s="9"/>
      <c r="C279" s="3"/>
      <c r="D279" s="33"/>
      <c r="E279" s="32"/>
      <c r="F279" s="32"/>
      <c r="G279" s="3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3"/>
      <c r="B280" s="9"/>
      <c r="C280" s="3"/>
      <c r="D280" s="33"/>
      <c r="E280" s="32"/>
      <c r="F280" s="32"/>
      <c r="G280" s="3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3"/>
      <c r="B281" s="9"/>
      <c r="C281" s="3"/>
      <c r="D281" s="33"/>
      <c r="E281" s="32"/>
      <c r="F281" s="32"/>
      <c r="G281" s="3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3"/>
      <c r="B282" s="9"/>
      <c r="C282" s="3"/>
      <c r="D282" s="33"/>
      <c r="E282" s="32"/>
      <c r="F282" s="32"/>
      <c r="G282" s="3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3"/>
      <c r="B283" s="9"/>
      <c r="C283" s="3"/>
      <c r="D283" s="33"/>
      <c r="E283" s="32"/>
      <c r="F283" s="32"/>
      <c r="G283" s="3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3"/>
      <c r="B284" s="9"/>
      <c r="C284" s="3"/>
      <c r="D284" s="33"/>
      <c r="E284" s="32"/>
      <c r="F284" s="32"/>
      <c r="G284" s="3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3"/>
      <c r="B285" s="9"/>
      <c r="C285" s="3"/>
      <c r="D285" s="33"/>
      <c r="E285" s="32"/>
      <c r="F285" s="32"/>
      <c r="G285" s="3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3"/>
      <c r="B286" s="9"/>
      <c r="C286" s="3"/>
      <c r="D286" s="33"/>
      <c r="E286" s="32"/>
      <c r="F286" s="32"/>
      <c r="G286" s="3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3"/>
      <c r="B287" s="9"/>
      <c r="C287" s="3"/>
      <c r="D287" s="33"/>
      <c r="E287" s="32"/>
      <c r="F287" s="32"/>
      <c r="G287" s="3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3"/>
      <c r="B288" s="9"/>
      <c r="C288" s="3"/>
      <c r="D288" s="33"/>
      <c r="E288" s="32"/>
      <c r="F288" s="32"/>
      <c r="G288" s="3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3"/>
      <c r="B289" s="9"/>
      <c r="C289" s="3"/>
      <c r="D289" s="33"/>
      <c r="E289" s="32"/>
      <c r="F289" s="32"/>
      <c r="G289" s="3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3"/>
      <c r="B290" s="9"/>
      <c r="C290" s="3"/>
      <c r="D290" s="33"/>
      <c r="E290" s="32"/>
      <c r="F290" s="32"/>
      <c r="G290" s="3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3"/>
      <c r="B291" s="9"/>
      <c r="C291" s="3"/>
      <c r="D291" s="33"/>
      <c r="E291" s="32"/>
      <c r="F291" s="32"/>
      <c r="G291" s="3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3"/>
      <c r="B292" s="9"/>
      <c r="C292" s="3"/>
      <c r="D292" s="33"/>
      <c r="E292" s="32"/>
      <c r="F292" s="32"/>
      <c r="G292" s="3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3"/>
      <c r="B293" s="9"/>
      <c r="C293" s="3"/>
      <c r="D293" s="33"/>
      <c r="E293" s="32"/>
      <c r="F293" s="32"/>
      <c r="G293" s="3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3"/>
      <c r="B294" s="9"/>
      <c r="C294" s="3"/>
      <c r="D294" s="33"/>
      <c r="E294" s="32"/>
      <c r="F294" s="32"/>
      <c r="G294" s="3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3"/>
      <c r="B295" s="9"/>
      <c r="C295" s="3"/>
      <c r="D295" s="33"/>
      <c r="E295" s="32"/>
      <c r="F295" s="32"/>
      <c r="G295" s="3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3"/>
      <c r="B296" s="9"/>
      <c r="C296" s="3"/>
      <c r="D296" s="33"/>
      <c r="E296" s="32"/>
      <c r="F296" s="32"/>
      <c r="G296" s="3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3"/>
      <c r="B297" s="9"/>
      <c r="C297" s="3"/>
      <c r="D297" s="33"/>
      <c r="E297" s="32"/>
      <c r="F297" s="32"/>
      <c r="G297" s="3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3"/>
      <c r="B298" s="9"/>
      <c r="C298" s="3"/>
      <c r="D298" s="33"/>
      <c r="E298" s="32"/>
      <c r="F298" s="32"/>
      <c r="G298" s="3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3"/>
      <c r="B299" s="9"/>
      <c r="C299" s="3"/>
      <c r="D299" s="33"/>
      <c r="E299" s="32"/>
      <c r="F299" s="32"/>
      <c r="G299" s="3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3"/>
      <c r="B300" s="9"/>
      <c r="C300" s="3"/>
      <c r="D300" s="33"/>
      <c r="E300" s="32"/>
      <c r="F300" s="32"/>
      <c r="G300" s="3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3"/>
      <c r="B301" s="9"/>
      <c r="C301" s="3"/>
      <c r="D301" s="33"/>
      <c r="E301" s="32"/>
      <c r="F301" s="32"/>
      <c r="G301" s="3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3"/>
      <c r="B302" s="9"/>
      <c r="C302" s="3"/>
      <c r="D302" s="33"/>
      <c r="E302" s="32"/>
      <c r="F302" s="32"/>
      <c r="G302" s="3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3"/>
      <c r="B303" s="9"/>
      <c r="C303" s="3"/>
      <c r="D303" s="33"/>
      <c r="E303" s="32"/>
      <c r="F303" s="32"/>
      <c r="G303" s="3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3"/>
      <c r="B304" s="9"/>
      <c r="C304" s="3"/>
      <c r="D304" s="33"/>
      <c r="E304" s="32"/>
      <c r="F304" s="32"/>
      <c r="G304" s="3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3"/>
      <c r="B305" s="9"/>
      <c r="C305" s="3"/>
      <c r="D305" s="33"/>
      <c r="E305" s="32"/>
      <c r="F305" s="32"/>
      <c r="G305" s="3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3"/>
      <c r="B306" s="9"/>
      <c r="C306" s="3"/>
      <c r="D306" s="33"/>
      <c r="E306" s="32"/>
      <c r="F306" s="32"/>
      <c r="G306" s="3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3"/>
      <c r="B307" s="9"/>
      <c r="C307" s="3"/>
      <c r="D307" s="33"/>
      <c r="E307" s="32"/>
      <c r="F307" s="32"/>
      <c r="G307" s="3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3"/>
      <c r="B308" s="9"/>
      <c r="C308" s="3"/>
      <c r="D308" s="33"/>
      <c r="E308" s="32"/>
      <c r="F308" s="32"/>
      <c r="G308" s="3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3"/>
      <c r="B309" s="9"/>
      <c r="C309" s="3"/>
      <c r="D309" s="33"/>
      <c r="E309" s="32"/>
      <c r="F309" s="32"/>
      <c r="G309" s="3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3"/>
      <c r="B310" s="9"/>
      <c r="C310" s="3"/>
      <c r="D310" s="33"/>
      <c r="E310" s="32"/>
      <c r="F310" s="32"/>
      <c r="G310" s="3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3"/>
      <c r="B311" s="9"/>
      <c r="C311" s="3"/>
      <c r="D311" s="33"/>
      <c r="E311" s="32"/>
      <c r="F311" s="32"/>
      <c r="G311" s="3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3"/>
      <c r="B312" s="9"/>
      <c r="C312" s="3"/>
      <c r="D312" s="33"/>
      <c r="E312" s="32"/>
      <c r="F312" s="32"/>
      <c r="G312" s="3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3"/>
      <c r="B313" s="9"/>
      <c r="C313" s="3"/>
      <c r="D313" s="33"/>
      <c r="E313" s="32"/>
      <c r="F313" s="32"/>
      <c r="G313" s="3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3"/>
      <c r="B314" s="9"/>
      <c r="C314" s="3"/>
      <c r="D314" s="33"/>
      <c r="E314" s="32"/>
      <c r="F314" s="32"/>
      <c r="G314" s="3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3"/>
      <c r="B315" s="9"/>
      <c r="C315" s="3"/>
      <c r="D315" s="33"/>
      <c r="E315" s="32"/>
      <c r="F315" s="32"/>
      <c r="G315" s="3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3"/>
      <c r="B316" s="9"/>
      <c r="C316" s="3"/>
      <c r="D316" s="33"/>
      <c r="E316" s="32"/>
      <c r="F316" s="32"/>
      <c r="G316" s="3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3"/>
      <c r="B317" s="9"/>
      <c r="C317" s="3"/>
      <c r="D317" s="33"/>
      <c r="E317" s="32"/>
      <c r="F317" s="32"/>
      <c r="G317" s="3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3"/>
      <c r="B318" s="9"/>
      <c r="C318" s="3"/>
      <c r="D318" s="33"/>
      <c r="E318" s="32"/>
      <c r="F318" s="32"/>
      <c r="G318" s="3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3"/>
      <c r="B319" s="9"/>
      <c r="C319" s="3"/>
      <c r="D319" s="33"/>
      <c r="E319" s="32"/>
      <c r="F319" s="32"/>
      <c r="G319" s="3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3"/>
      <c r="B320" s="9"/>
      <c r="C320" s="3"/>
      <c r="D320" s="33"/>
      <c r="E320" s="32"/>
      <c r="F320" s="32"/>
      <c r="G320" s="3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3"/>
      <c r="B321" s="9"/>
      <c r="C321" s="3"/>
      <c r="D321" s="33"/>
      <c r="E321" s="32"/>
      <c r="F321" s="32"/>
      <c r="G321" s="3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3"/>
      <c r="B322" s="9"/>
      <c r="C322" s="3"/>
      <c r="D322" s="33"/>
      <c r="E322" s="32"/>
      <c r="F322" s="32"/>
      <c r="G322" s="3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3"/>
      <c r="B323" s="9"/>
      <c r="C323" s="3"/>
      <c r="D323" s="33"/>
      <c r="E323" s="32"/>
      <c r="F323" s="32"/>
      <c r="G323" s="3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3"/>
      <c r="B324" s="9"/>
      <c r="C324" s="3"/>
      <c r="D324" s="33"/>
      <c r="E324" s="32"/>
      <c r="F324" s="32"/>
      <c r="G324" s="3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3"/>
      <c r="B325" s="9"/>
      <c r="C325" s="3"/>
      <c r="D325" s="33"/>
      <c r="E325" s="32"/>
      <c r="F325" s="32"/>
      <c r="G325" s="3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3"/>
      <c r="B326" s="9"/>
      <c r="C326" s="3"/>
      <c r="D326" s="33"/>
      <c r="E326" s="32"/>
      <c r="F326" s="32"/>
      <c r="G326" s="3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3"/>
      <c r="B327" s="9"/>
      <c r="C327" s="3"/>
      <c r="D327" s="33"/>
      <c r="E327" s="32"/>
      <c r="F327" s="32"/>
      <c r="G327" s="3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3"/>
      <c r="B328" s="9"/>
      <c r="C328" s="3"/>
      <c r="D328" s="33"/>
      <c r="E328" s="32"/>
      <c r="F328" s="32"/>
      <c r="G328" s="3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3"/>
      <c r="B329" s="9"/>
      <c r="C329" s="3"/>
      <c r="D329" s="33"/>
      <c r="E329" s="32"/>
      <c r="F329" s="32"/>
      <c r="G329" s="3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3"/>
      <c r="B330" s="9"/>
      <c r="C330" s="3"/>
      <c r="D330" s="33"/>
      <c r="E330" s="32"/>
      <c r="F330" s="32"/>
      <c r="G330" s="3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3"/>
      <c r="B331" s="9"/>
      <c r="C331" s="3"/>
      <c r="D331" s="33"/>
      <c r="E331" s="32"/>
      <c r="F331" s="32"/>
      <c r="G331" s="3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3"/>
      <c r="B332" s="9"/>
      <c r="C332" s="3"/>
      <c r="D332" s="33"/>
      <c r="E332" s="32"/>
      <c r="F332" s="32"/>
      <c r="G332" s="3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3"/>
      <c r="B333" s="9"/>
      <c r="C333" s="3"/>
      <c r="D333" s="33"/>
      <c r="E333" s="32"/>
      <c r="F333" s="32"/>
      <c r="G333" s="3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3"/>
      <c r="B334" s="9"/>
      <c r="C334" s="3"/>
      <c r="D334" s="33"/>
      <c r="E334" s="32"/>
      <c r="F334" s="32"/>
      <c r="G334" s="3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3"/>
      <c r="B335" s="9"/>
      <c r="C335" s="3"/>
      <c r="D335" s="33"/>
      <c r="E335" s="32"/>
      <c r="F335" s="32"/>
      <c r="G335" s="3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3"/>
      <c r="B336" s="9"/>
      <c r="C336" s="3"/>
      <c r="D336" s="33"/>
      <c r="E336" s="32"/>
      <c r="F336" s="32"/>
      <c r="G336" s="3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3"/>
      <c r="B337" s="9"/>
      <c r="C337" s="3"/>
      <c r="D337" s="33"/>
      <c r="E337" s="32"/>
      <c r="F337" s="32"/>
      <c r="G337" s="3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3"/>
      <c r="B338" s="9"/>
      <c r="C338" s="3"/>
      <c r="D338" s="33"/>
      <c r="E338" s="32"/>
      <c r="F338" s="32"/>
      <c r="G338" s="3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3"/>
      <c r="B339" s="9"/>
      <c r="C339" s="3"/>
      <c r="D339" s="33"/>
      <c r="E339" s="32"/>
      <c r="F339" s="32"/>
      <c r="G339" s="3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3"/>
      <c r="B340" s="9"/>
      <c r="C340" s="3"/>
      <c r="D340" s="33"/>
      <c r="E340" s="32"/>
      <c r="F340" s="32"/>
      <c r="G340" s="3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3"/>
      <c r="B341" s="9"/>
      <c r="C341" s="3"/>
      <c r="D341" s="33"/>
      <c r="E341" s="32"/>
      <c r="F341" s="32"/>
      <c r="G341" s="3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3"/>
      <c r="B342" s="9"/>
      <c r="C342" s="3"/>
      <c r="D342" s="33"/>
      <c r="E342" s="32"/>
      <c r="F342" s="32"/>
      <c r="G342" s="3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3"/>
      <c r="B343" s="9"/>
      <c r="C343" s="3"/>
      <c r="D343" s="33"/>
      <c r="E343" s="32"/>
      <c r="F343" s="32"/>
      <c r="G343" s="3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3"/>
      <c r="B344" s="9"/>
      <c r="C344" s="3"/>
      <c r="D344" s="33"/>
      <c r="E344" s="32"/>
      <c r="F344" s="32"/>
      <c r="G344" s="3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3"/>
      <c r="B345" s="9"/>
      <c r="C345" s="3"/>
      <c r="D345" s="33"/>
      <c r="E345" s="32"/>
      <c r="F345" s="32"/>
      <c r="G345" s="3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3"/>
      <c r="B346" s="9"/>
      <c r="C346" s="3"/>
      <c r="D346" s="33"/>
      <c r="E346" s="32"/>
      <c r="F346" s="32"/>
      <c r="G346" s="3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3"/>
      <c r="B347" s="9"/>
      <c r="C347" s="3"/>
      <c r="D347" s="33"/>
      <c r="E347" s="32"/>
      <c r="F347" s="32"/>
      <c r="G347" s="3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3"/>
      <c r="B348" s="9"/>
      <c r="C348" s="3"/>
      <c r="D348" s="33"/>
      <c r="E348" s="32"/>
      <c r="F348" s="32"/>
      <c r="G348" s="3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3"/>
      <c r="B349" s="9"/>
      <c r="C349" s="3"/>
      <c r="D349" s="33"/>
      <c r="E349" s="32"/>
      <c r="F349" s="32"/>
      <c r="G349" s="3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3"/>
      <c r="B350" s="9"/>
      <c r="C350" s="3"/>
      <c r="D350" s="33"/>
      <c r="E350" s="32"/>
      <c r="F350" s="32"/>
      <c r="G350" s="3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3"/>
      <c r="B351" s="9"/>
      <c r="C351" s="3"/>
      <c r="D351" s="33"/>
      <c r="E351" s="32"/>
      <c r="F351" s="32"/>
      <c r="G351" s="3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3"/>
      <c r="B352" s="9"/>
      <c r="C352" s="3"/>
      <c r="D352" s="33"/>
      <c r="E352" s="32"/>
      <c r="F352" s="32"/>
      <c r="G352" s="3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3"/>
      <c r="B353" s="9"/>
      <c r="C353" s="3"/>
      <c r="D353" s="33"/>
      <c r="E353" s="32"/>
      <c r="F353" s="32"/>
      <c r="G353" s="3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3"/>
      <c r="B354" s="9"/>
      <c r="C354" s="3"/>
      <c r="D354" s="33"/>
      <c r="E354" s="32"/>
      <c r="F354" s="32"/>
      <c r="G354" s="3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3"/>
      <c r="B355" s="9"/>
      <c r="C355" s="3"/>
      <c r="D355" s="33"/>
      <c r="E355" s="32"/>
      <c r="F355" s="32"/>
      <c r="G355" s="3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3"/>
      <c r="B356" s="9"/>
      <c r="C356" s="3"/>
      <c r="D356" s="33"/>
      <c r="E356" s="32"/>
      <c r="F356" s="32"/>
      <c r="G356" s="3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3"/>
      <c r="B357" s="9"/>
      <c r="C357" s="3"/>
      <c r="D357" s="33"/>
      <c r="E357" s="32"/>
      <c r="F357" s="32"/>
      <c r="G357" s="3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3"/>
      <c r="B358" s="9"/>
      <c r="C358" s="3"/>
      <c r="D358" s="33"/>
      <c r="E358" s="32"/>
      <c r="F358" s="32"/>
      <c r="G358" s="3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3"/>
      <c r="B359" s="9"/>
      <c r="C359" s="3"/>
      <c r="D359" s="33"/>
      <c r="E359" s="32"/>
      <c r="F359" s="32"/>
      <c r="G359" s="3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3"/>
      <c r="B360" s="9"/>
      <c r="C360" s="3"/>
      <c r="D360" s="33"/>
      <c r="E360" s="32"/>
      <c r="F360" s="32"/>
      <c r="G360" s="3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3"/>
      <c r="B361" s="9"/>
      <c r="C361" s="3"/>
      <c r="D361" s="33"/>
      <c r="E361" s="32"/>
      <c r="F361" s="32"/>
      <c r="G361" s="3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3"/>
      <c r="B362" s="9"/>
      <c r="C362" s="3"/>
      <c r="D362" s="33"/>
      <c r="E362" s="32"/>
      <c r="F362" s="32"/>
      <c r="G362" s="3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3"/>
      <c r="B363" s="9"/>
      <c r="C363" s="3"/>
      <c r="D363" s="33"/>
      <c r="E363" s="32"/>
      <c r="F363" s="32"/>
      <c r="G363" s="3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3"/>
      <c r="B364" s="9"/>
      <c r="C364" s="3"/>
      <c r="D364" s="33"/>
      <c r="E364" s="32"/>
      <c r="F364" s="32"/>
      <c r="G364" s="3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3"/>
      <c r="B365" s="9"/>
      <c r="C365" s="3"/>
      <c r="D365" s="33"/>
      <c r="E365" s="32"/>
      <c r="F365" s="32"/>
      <c r="G365" s="3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3"/>
      <c r="B366" s="9"/>
      <c r="C366" s="3"/>
      <c r="D366" s="33"/>
      <c r="E366" s="32"/>
      <c r="F366" s="32"/>
      <c r="G366" s="3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3"/>
      <c r="B367" s="9"/>
      <c r="C367" s="3"/>
      <c r="D367" s="33"/>
      <c r="E367" s="32"/>
      <c r="F367" s="32"/>
      <c r="G367" s="3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3"/>
      <c r="B368" s="9"/>
      <c r="C368" s="3"/>
      <c r="D368" s="33"/>
      <c r="E368" s="32"/>
      <c r="F368" s="32"/>
      <c r="G368" s="3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3"/>
      <c r="B369" s="9"/>
      <c r="C369" s="3"/>
      <c r="D369" s="33"/>
      <c r="E369" s="32"/>
      <c r="F369" s="32"/>
      <c r="G369" s="3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3"/>
      <c r="B370" s="9"/>
      <c r="C370" s="3"/>
      <c r="D370" s="33"/>
      <c r="E370" s="32"/>
      <c r="F370" s="32"/>
      <c r="G370" s="3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3"/>
      <c r="B371" s="9"/>
      <c r="C371" s="3"/>
      <c r="D371" s="33"/>
      <c r="E371" s="32"/>
      <c r="F371" s="32"/>
      <c r="G371" s="3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3"/>
      <c r="B372" s="9"/>
      <c r="C372" s="3"/>
      <c r="D372" s="33"/>
      <c r="E372" s="32"/>
      <c r="F372" s="32"/>
      <c r="G372" s="3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3"/>
      <c r="B373" s="9"/>
      <c r="C373" s="3"/>
      <c r="D373" s="33"/>
      <c r="E373" s="32"/>
      <c r="F373" s="32"/>
      <c r="G373" s="3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3"/>
      <c r="B374" s="9"/>
      <c r="C374" s="3"/>
      <c r="D374" s="33"/>
      <c r="E374" s="32"/>
      <c r="F374" s="32"/>
      <c r="G374" s="3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3"/>
      <c r="B375" s="9"/>
      <c r="C375" s="3"/>
      <c r="D375" s="33"/>
      <c r="E375" s="32"/>
      <c r="F375" s="32"/>
      <c r="G375" s="3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3"/>
      <c r="B376" s="9"/>
      <c r="C376" s="3"/>
      <c r="D376" s="33"/>
      <c r="E376" s="32"/>
      <c r="F376" s="32"/>
      <c r="G376" s="3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3"/>
      <c r="B377" s="9"/>
      <c r="C377" s="3"/>
      <c r="D377" s="33"/>
      <c r="E377" s="32"/>
      <c r="F377" s="32"/>
      <c r="G377" s="3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3"/>
      <c r="B378" s="9"/>
      <c r="C378" s="3"/>
      <c r="D378" s="33"/>
      <c r="E378" s="32"/>
      <c r="F378" s="32"/>
      <c r="G378" s="3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3"/>
      <c r="B379" s="9"/>
      <c r="C379" s="3"/>
      <c r="D379" s="33"/>
      <c r="E379" s="32"/>
      <c r="F379" s="32"/>
      <c r="G379" s="3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3"/>
      <c r="B380" s="9"/>
      <c r="C380" s="3"/>
      <c r="D380" s="33"/>
      <c r="E380" s="32"/>
      <c r="F380" s="32"/>
      <c r="G380" s="3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3"/>
      <c r="B381" s="9"/>
      <c r="C381" s="3"/>
      <c r="D381" s="33"/>
      <c r="E381" s="32"/>
      <c r="F381" s="32"/>
      <c r="G381" s="3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3"/>
      <c r="B382" s="9"/>
      <c r="C382" s="3"/>
      <c r="D382" s="33"/>
      <c r="E382" s="32"/>
      <c r="F382" s="32"/>
      <c r="G382" s="3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3"/>
      <c r="B383" s="9"/>
      <c r="C383" s="3"/>
      <c r="D383" s="33"/>
      <c r="E383" s="32"/>
      <c r="F383" s="32"/>
      <c r="G383" s="3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3"/>
      <c r="B384" s="9"/>
      <c r="C384" s="3"/>
      <c r="D384" s="33"/>
      <c r="E384" s="32"/>
      <c r="F384" s="32"/>
      <c r="G384" s="3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3"/>
      <c r="B385" s="9"/>
      <c r="C385" s="3"/>
      <c r="D385" s="33"/>
      <c r="E385" s="32"/>
      <c r="F385" s="32"/>
      <c r="G385" s="3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3"/>
      <c r="B386" s="9"/>
      <c r="C386" s="3"/>
      <c r="D386" s="33"/>
      <c r="E386" s="32"/>
      <c r="F386" s="32"/>
      <c r="G386" s="3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3"/>
      <c r="B387" s="9"/>
      <c r="C387" s="3"/>
      <c r="D387" s="33"/>
      <c r="E387" s="32"/>
      <c r="F387" s="32"/>
      <c r="G387" s="3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3"/>
      <c r="B388" s="9"/>
      <c r="C388" s="3"/>
      <c r="D388" s="33"/>
      <c r="E388" s="32"/>
      <c r="F388" s="32"/>
      <c r="G388" s="3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3"/>
      <c r="B389" s="9"/>
      <c r="C389" s="3"/>
      <c r="D389" s="33"/>
      <c r="E389" s="32"/>
      <c r="F389" s="32"/>
      <c r="G389" s="3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3"/>
      <c r="B390" s="9"/>
      <c r="C390" s="3"/>
      <c r="D390" s="33"/>
      <c r="E390" s="32"/>
      <c r="F390" s="32"/>
      <c r="G390" s="3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3"/>
      <c r="B391" s="9"/>
      <c r="C391" s="3"/>
      <c r="D391" s="33"/>
      <c r="E391" s="32"/>
      <c r="F391" s="32"/>
      <c r="G391" s="3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3"/>
      <c r="B392" s="9"/>
      <c r="C392" s="3"/>
      <c r="D392" s="33"/>
      <c r="E392" s="32"/>
      <c r="F392" s="32"/>
      <c r="G392" s="3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3"/>
      <c r="B393" s="9"/>
      <c r="C393" s="3"/>
      <c r="D393" s="33"/>
      <c r="E393" s="32"/>
      <c r="F393" s="32"/>
      <c r="G393" s="3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3"/>
      <c r="B394" s="9"/>
      <c r="C394" s="3"/>
      <c r="D394" s="33"/>
      <c r="E394" s="32"/>
      <c r="F394" s="32"/>
      <c r="G394" s="3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3"/>
      <c r="B395" s="9"/>
      <c r="C395" s="3"/>
      <c r="D395" s="33"/>
      <c r="E395" s="32"/>
      <c r="F395" s="32"/>
      <c r="G395" s="3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3"/>
      <c r="B396" s="9"/>
      <c r="C396" s="3"/>
      <c r="D396" s="33"/>
      <c r="E396" s="32"/>
      <c r="F396" s="32"/>
      <c r="G396" s="3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3"/>
      <c r="B397" s="9"/>
      <c r="C397" s="3"/>
      <c r="D397" s="33"/>
      <c r="E397" s="32"/>
      <c r="F397" s="32"/>
      <c r="G397" s="3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3"/>
      <c r="B398" s="9"/>
      <c r="C398" s="3"/>
      <c r="D398" s="33"/>
      <c r="E398" s="32"/>
      <c r="F398" s="32"/>
      <c r="G398" s="3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3"/>
      <c r="B399" s="9"/>
      <c r="C399" s="3"/>
      <c r="D399" s="33"/>
      <c r="E399" s="32"/>
      <c r="F399" s="32"/>
      <c r="G399" s="3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3"/>
      <c r="B400" s="9"/>
      <c r="C400" s="3"/>
      <c r="D400" s="33"/>
      <c r="E400" s="32"/>
      <c r="F400" s="32"/>
      <c r="G400" s="3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3"/>
      <c r="B401" s="9"/>
      <c r="C401" s="3"/>
      <c r="D401" s="33"/>
      <c r="E401" s="32"/>
      <c r="F401" s="32"/>
      <c r="G401" s="3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3"/>
      <c r="B402" s="9"/>
      <c r="C402" s="3"/>
      <c r="D402" s="33"/>
      <c r="E402" s="32"/>
      <c r="F402" s="32"/>
      <c r="G402" s="3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3"/>
      <c r="B403" s="9"/>
      <c r="C403" s="3"/>
      <c r="D403" s="33"/>
      <c r="E403" s="32"/>
      <c r="F403" s="32"/>
      <c r="G403" s="3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3"/>
      <c r="B404" s="9"/>
      <c r="C404" s="3"/>
      <c r="D404" s="33"/>
      <c r="E404" s="32"/>
      <c r="F404" s="32"/>
      <c r="G404" s="3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3"/>
      <c r="B405" s="9"/>
      <c r="C405" s="3"/>
      <c r="D405" s="33"/>
      <c r="E405" s="32"/>
      <c r="F405" s="32"/>
      <c r="G405" s="3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3"/>
      <c r="B406" s="9"/>
      <c r="C406" s="3"/>
      <c r="D406" s="33"/>
      <c r="E406" s="32"/>
      <c r="F406" s="32"/>
      <c r="G406" s="3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3"/>
      <c r="B407" s="9"/>
      <c r="C407" s="3"/>
      <c r="D407" s="33"/>
      <c r="E407" s="32"/>
      <c r="F407" s="32"/>
      <c r="G407" s="3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3"/>
      <c r="B408" s="9"/>
      <c r="C408" s="3"/>
      <c r="D408" s="33"/>
      <c r="E408" s="32"/>
      <c r="F408" s="32"/>
      <c r="G408" s="3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3"/>
      <c r="B409" s="9"/>
      <c r="C409" s="3"/>
      <c r="D409" s="33"/>
      <c r="E409" s="32"/>
      <c r="F409" s="32"/>
      <c r="G409" s="3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3"/>
      <c r="B410" s="9"/>
      <c r="C410" s="3"/>
      <c r="D410" s="33"/>
      <c r="E410" s="32"/>
      <c r="F410" s="32"/>
      <c r="G410" s="3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3"/>
      <c r="B411" s="9"/>
      <c r="C411" s="3"/>
      <c r="D411" s="33"/>
      <c r="E411" s="32"/>
      <c r="F411" s="32"/>
      <c r="G411" s="3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3"/>
      <c r="B412" s="9"/>
      <c r="C412" s="3"/>
      <c r="D412" s="33"/>
      <c r="E412" s="32"/>
      <c r="F412" s="32"/>
      <c r="G412" s="3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3"/>
      <c r="B413" s="9"/>
      <c r="C413" s="3"/>
      <c r="D413" s="33"/>
      <c r="E413" s="32"/>
      <c r="F413" s="32"/>
      <c r="G413" s="3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3"/>
      <c r="B414" s="9"/>
      <c r="C414" s="3"/>
      <c r="D414" s="33"/>
      <c r="E414" s="32"/>
      <c r="F414" s="32"/>
      <c r="G414" s="3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3"/>
      <c r="B415" s="9"/>
      <c r="C415" s="3"/>
      <c r="D415" s="33"/>
      <c r="E415" s="32"/>
      <c r="F415" s="32"/>
      <c r="G415" s="3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3"/>
      <c r="B416" s="9"/>
      <c r="C416" s="3"/>
      <c r="D416" s="33"/>
      <c r="E416" s="32"/>
      <c r="F416" s="32"/>
      <c r="G416" s="3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3"/>
      <c r="B417" s="9"/>
      <c r="C417" s="3"/>
      <c r="D417" s="33"/>
      <c r="E417" s="32"/>
      <c r="F417" s="32"/>
      <c r="G417" s="3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3"/>
      <c r="B418" s="9"/>
      <c r="C418" s="3"/>
      <c r="D418" s="33"/>
      <c r="E418" s="32"/>
      <c r="F418" s="32"/>
      <c r="G418" s="3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3"/>
      <c r="B419" s="9"/>
      <c r="C419" s="3"/>
      <c r="D419" s="33"/>
      <c r="E419" s="32"/>
      <c r="F419" s="32"/>
      <c r="G419" s="3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3"/>
      <c r="B420" s="9"/>
      <c r="C420" s="3"/>
      <c r="D420" s="33"/>
      <c r="E420" s="32"/>
      <c r="F420" s="32"/>
      <c r="G420" s="3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3"/>
      <c r="B421" s="9"/>
      <c r="C421" s="3"/>
      <c r="D421" s="33"/>
      <c r="E421" s="32"/>
      <c r="F421" s="32"/>
      <c r="G421" s="3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3"/>
      <c r="B422" s="9"/>
      <c r="C422" s="3"/>
      <c r="D422" s="33"/>
      <c r="E422" s="32"/>
      <c r="F422" s="32"/>
      <c r="G422" s="3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3"/>
      <c r="B423" s="9"/>
      <c r="C423" s="3"/>
      <c r="D423" s="33"/>
      <c r="E423" s="32"/>
      <c r="F423" s="32"/>
      <c r="G423" s="3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3"/>
      <c r="B424" s="9"/>
      <c r="C424" s="3"/>
      <c r="D424" s="33"/>
      <c r="E424" s="32"/>
      <c r="F424" s="32"/>
      <c r="G424" s="3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3"/>
      <c r="B425" s="9"/>
      <c r="C425" s="3"/>
      <c r="D425" s="33"/>
      <c r="E425" s="32"/>
      <c r="F425" s="32"/>
      <c r="G425" s="3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3"/>
      <c r="B426" s="9"/>
      <c r="C426" s="3"/>
      <c r="D426" s="33"/>
      <c r="E426" s="32"/>
      <c r="F426" s="32"/>
      <c r="G426" s="3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3"/>
      <c r="B427" s="9"/>
      <c r="C427" s="3"/>
      <c r="D427" s="33"/>
      <c r="E427" s="32"/>
      <c r="F427" s="32"/>
      <c r="G427" s="3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3"/>
      <c r="B428" s="9"/>
      <c r="C428" s="3"/>
      <c r="D428" s="33"/>
      <c r="E428" s="32"/>
      <c r="F428" s="32"/>
      <c r="G428" s="3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3"/>
      <c r="B429" s="9"/>
      <c r="C429" s="3"/>
      <c r="D429" s="33"/>
      <c r="E429" s="32"/>
      <c r="F429" s="32"/>
      <c r="G429" s="3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3"/>
      <c r="B430" s="9"/>
      <c r="C430" s="3"/>
      <c r="D430" s="33"/>
      <c r="E430" s="32"/>
      <c r="F430" s="32"/>
      <c r="G430" s="3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3"/>
      <c r="B431" s="9"/>
      <c r="C431" s="3"/>
      <c r="D431" s="33"/>
      <c r="E431" s="32"/>
      <c r="F431" s="32"/>
      <c r="G431" s="3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3"/>
      <c r="B432" s="9"/>
      <c r="C432" s="3"/>
      <c r="D432" s="33"/>
      <c r="E432" s="32"/>
      <c r="F432" s="32"/>
      <c r="G432" s="3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3"/>
      <c r="B433" s="9"/>
      <c r="C433" s="3"/>
      <c r="D433" s="33"/>
      <c r="E433" s="32"/>
      <c r="F433" s="32"/>
      <c r="G433" s="3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3"/>
      <c r="B434" s="9"/>
      <c r="C434" s="3"/>
      <c r="D434" s="33"/>
      <c r="E434" s="32"/>
      <c r="F434" s="32"/>
      <c r="G434" s="3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3"/>
      <c r="B435" s="9"/>
      <c r="C435" s="3"/>
      <c r="D435" s="33"/>
      <c r="E435" s="32"/>
      <c r="F435" s="32"/>
      <c r="G435" s="3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3"/>
      <c r="B436" s="9"/>
      <c r="C436" s="3"/>
      <c r="D436" s="33"/>
      <c r="E436" s="32"/>
      <c r="F436" s="32"/>
      <c r="G436" s="3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3"/>
      <c r="B437" s="9"/>
      <c r="C437" s="3"/>
      <c r="D437" s="33"/>
      <c r="E437" s="32"/>
      <c r="F437" s="32"/>
      <c r="G437" s="3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3"/>
      <c r="B438" s="9"/>
      <c r="C438" s="3"/>
      <c r="D438" s="33"/>
      <c r="E438" s="32"/>
      <c r="F438" s="32"/>
      <c r="G438" s="3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3"/>
      <c r="B439" s="9"/>
      <c r="C439" s="3"/>
      <c r="D439" s="33"/>
      <c r="E439" s="32"/>
      <c r="F439" s="32"/>
      <c r="G439" s="3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3"/>
      <c r="B440" s="9"/>
      <c r="C440" s="3"/>
      <c r="D440" s="33"/>
      <c r="E440" s="32"/>
      <c r="F440" s="32"/>
      <c r="G440" s="3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3"/>
      <c r="B441" s="9"/>
      <c r="C441" s="3"/>
      <c r="D441" s="33"/>
      <c r="E441" s="32"/>
      <c r="F441" s="32"/>
      <c r="G441" s="3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3"/>
      <c r="B442" s="9"/>
      <c r="C442" s="3"/>
      <c r="D442" s="33"/>
      <c r="E442" s="32"/>
      <c r="F442" s="32"/>
      <c r="G442" s="3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3"/>
      <c r="B443" s="9"/>
      <c r="C443" s="3"/>
      <c r="D443" s="33"/>
      <c r="E443" s="32"/>
      <c r="F443" s="32"/>
      <c r="G443" s="3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3"/>
      <c r="B444" s="9"/>
      <c r="C444" s="3"/>
      <c r="D444" s="33"/>
      <c r="E444" s="32"/>
      <c r="F444" s="32"/>
      <c r="G444" s="3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3"/>
      <c r="B445" s="9"/>
      <c r="C445" s="3"/>
      <c r="D445" s="33"/>
      <c r="E445" s="32"/>
      <c r="F445" s="32"/>
      <c r="G445" s="3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3"/>
      <c r="B446" s="9"/>
      <c r="C446" s="3"/>
      <c r="D446" s="33"/>
      <c r="E446" s="32"/>
      <c r="F446" s="32"/>
      <c r="G446" s="3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3"/>
      <c r="B447" s="9"/>
      <c r="C447" s="3"/>
      <c r="D447" s="33"/>
      <c r="E447" s="32"/>
      <c r="F447" s="32"/>
      <c r="G447" s="3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3"/>
      <c r="B448" s="9"/>
      <c r="C448" s="3"/>
      <c r="D448" s="33"/>
      <c r="E448" s="32"/>
      <c r="F448" s="32"/>
      <c r="G448" s="3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3"/>
      <c r="B449" s="9"/>
      <c r="C449" s="3"/>
      <c r="D449" s="33"/>
      <c r="E449" s="32"/>
      <c r="F449" s="32"/>
      <c r="G449" s="3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3"/>
      <c r="B450" s="9"/>
      <c r="C450" s="3"/>
      <c r="D450" s="33"/>
      <c r="E450" s="32"/>
      <c r="F450" s="32"/>
      <c r="G450" s="3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3"/>
      <c r="B451" s="9"/>
      <c r="C451" s="3"/>
      <c r="D451" s="33"/>
      <c r="E451" s="32"/>
      <c r="F451" s="32"/>
      <c r="G451" s="3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3"/>
      <c r="B452" s="9"/>
      <c r="C452" s="3"/>
      <c r="D452" s="33"/>
      <c r="E452" s="32"/>
      <c r="F452" s="32"/>
      <c r="G452" s="3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3"/>
      <c r="B453" s="9"/>
      <c r="C453" s="3"/>
      <c r="D453" s="33"/>
      <c r="E453" s="32"/>
      <c r="F453" s="32"/>
      <c r="G453" s="3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3"/>
      <c r="B454" s="9"/>
      <c r="C454" s="3"/>
      <c r="D454" s="33"/>
      <c r="E454" s="32"/>
      <c r="F454" s="32"/>
      <c r="G454" s="3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3"/>
      <c r="B455" s="9"/>
      <c r="C455" s="3"/>
      <c r="D455" s="33"/>
      <c r="E455" s="32"/>
      <c r="F455" s="32"/>
      <c r="G455" s="3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3"/>
      <c r="B456" s="9"/>
      <c r="C456" s="3"/>
      <c r="D456" s="33"/>
      <c r="E456" s="32"/>
      <c r="F456" s="32"/>
      <c r="G456" s="3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3"/>
      <c r="B457" s="9"/>
      <c r="C457" s="3"/>
      <c r="D457" s="33"/>
      <c r="E457" s="32"/>
      <c r="F457" s="32"/>
      <c r="G457" s="3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3"/>
      <c r="B458" s="9"/>
      <c r="C458" s="3"/>
      <c r="D458" s="33"/>
      <c r="E458" s="32"/>
      <c r="F458" s="32"/>
      <c r="G458" s="3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3"/>
      <c r="B459" s="9"/>
      <c r="C459" s="3"/>
      <c r="D459" s="33"/>
      <c r="E459" s="32"/>
      <c r="F459" s="32"/>
      <c r="G459" s="3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3"/>
      <c r="B460" s="9"/>
      <c r="C460" s="3"/>
      <c r="D460" s="33"/>
      <c r="E460" s="32"/>
      <c r="F460" s="32"/>
      <c r="G460" s="3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3"/>
      <c r="B461" s="9"/>
      <c r="C461" s="3"/>
      <c r="D461" s="33"/>
      <c r="E461" s="32"/>
      <c r="F461" s="32"/>
      <c r="G461" s="3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3"/>
      <c r="B462" s="9"/>
      <c r="C462" s="3"/>
      <c r="D462" s="33"/>
      <c r="E462" s="32"/>
      <c r="F462" s="32"/>
      <c r="G462" s="3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3"/>
      <c r="B463" s="9"/>
      <c r="C463" s="3"/>
      <c r="D463" s="33"/>
      <c r="E463" s="32"/>
      <c r="F463" s="32"/>
      <c r="G463" s="3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3"/>
      <c r="B464" s="9"/>
      <c r="C464" s="3"/>
      <c r="D464" s="33"/>
      <c r="E464" s="32"/>
      <c r="F464" s="32"/>
      <c r="G464" s="3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3"/>
      <c r="B465" s="9"/>
      <c r="C465" s="3"/>
      <c r="D465" s="33"/>
      <c r="E465" s="32"/>
      <c r="F465" s="32"/>
      <c r="G465" s="3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3"/>
      <c r="B466" s="9"/>
      <c r="C466" s="3"/>
      <c r="D466" s="33"/>
      <c r="E466" s="32"/>
      <c r="F466" s="32"/>
      <c r="G466" s="3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3"/>
      <c r="B467" s="9"/>
      <c r="C467" s="3"/>
      <c r="D467" s="33"/>
      <c r="E467" s="32"/>
      <c r="F467" s="32"/>
      <c r="G467" s="3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3"/>
      <c r="B468" s="9"/>
      <c r="C468" s="3"/>
      <c r="D468" s="33"/>
      <c r="E468" s="32"/>
      <c r="F468" s="32"/>
      <c r="G468" s="3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3"/>
      <c r="B469" s="9"/>
      <c r="C469" s="3"/>
      <c r="D469" s="33"/>
      <c r="E469" s="32"/>
      <c r="F469" s="32"/>
      <c r="G469" s="3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3"/>
      <c r="B470" s="9"/>
      <c r="C470" s="3"/>
      <c r="D470" s="33"/>
      <c r="E470" s="32"/>
      <c r="F470" s="32"/>
      <c r="G470" s="3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3"/>
      <c r="B471" s="9"/>
      <c r="C471" s="3"/>
      <c r="D471" s="33"/>
      <c r="E471" s="32"/>
      <c r="F471" s="32"/>
      <c r="G471" s="3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3"/>
      <c r="B472" s="9"/>
      <c r="C472" s="3"/>
      <c r="D472" s="33"/>
      <c r="E472" s="32"/>
      <c r="F472" s="32"/>
      <c r="G472" s="3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3"/>
      <c r="B473" s="9"/>
      <c r="C473" s="3"/>
      <c r="D473" s="33"/>
      <c r="E473" s="32"/>
      <c r="F473" s="32"/>
      <c r="G473" s="3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3"/>
      <c r="B474" s="9"/>
      <c r="C474" s="3"/>
      <c r="D474" s="33"/>
      <c r="E474" s="32"/>
      <c r="F474" s="32"/>
      <c r="G474" s="3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3"/>
      <c r="B475" s="9"/>
      <c r="C475" s="3"/>
      <c r="D475" s="33"/>
      <c r="E475" s="32"/>
      <c r="F475" s="32"/>
      <c r="G475" s="3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3"/>
      <c r="B476" s="9"/>
      <c r="C476" s="3"/>
      <c r="D476" s="33"/>
      <c r="E476" s="32"/>
      <c r="F476" s="32"/>
      <c r="G476" s="3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3"/>
      <c r="B477" s="9"/>
      <c r="C477" s="3"/>
      <c r="D477" s="33"/>
      <c r="E477" s="32"/>
      <c r="F477" s="32"/>
      <c r="G477" s="3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3"/>
      <c r="B478" s="9"/>
      <c r="C478" s="3"/>
      <c r="D478" s="33"/>
      <c r="E478" s="32"/>
      <c r="F478" s="32"/>
      <c r="G478" s="3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3"/>
      <c r="B479" s="9"/>
      <c r="C479" s="3"/>
      <c r="D479" s="33"/>
      <c r="E479" s="32"/>
      <c r="F479" s="32"/>
      <c r="G479" s="3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3"/>
      <c r="B480" s="9"/>
      <c r="C480" s="3"/>
      <c r="D480" s="33"/>
      <c r="E480" s="32"/>
      <c r="F480" s="32"/>
      <c r="G480" s="3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3"/>
      <c r="B481" s="9"/>
      <c r="C481" s="3"/>
      <c r="D481" s="33"/>
      <c r="E481" s="32"/>
      <c r="F481" s="32"/>
      <c r="G481" s="3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3"/>
      <c r="B482" s="9"/>
      <c r="C482" s="3"/>
      <c r="D482" s="33"/>
      <c r="E482" s="32"/>
      <c r="F482" s="32"/>
      <c r="G482" s="3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3"/>
      <c r="B483" s="9"/>
      <c r="C483" s="3"/>
      <c r="D483" s="33"/>
      <c r="E483" s="32"/>
      <c r="F483" s="32"/>
      <c r="G483" s="3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3"/>
      <c r="B484" s="9"/>
      <c r="C484" s="3"/>
      <c r="D484" s="33"/>
      <c r="E484" s="32"/>
      <c r="F484" s="32"/>
      <c r="G484" s="3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3"/>
      <c r="B485" s="9"/>
      <c r="C485" s="3"/>
      <c r="D485" s="33"/>
      <c r="E485" s="32"/>
      <c r="F485" s="32"/>
      <c r="G485" s="3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3"/>
      <c r="B486" s="9"/>
      <c r="C486" s="3"/>
      <c r="D486" s="33"/>
      <c r="E486" s="32"/>
      <c r="F486" s="32"/>
      <c r="G486" s="3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3"/>
      <c r="B487" s="9"/>
      <c r="C487" s="3"/>
      <c r="D487" s="33"/>
      <c r="E487" s="32"/>
      <c r="F487" s="32"/>
      <c r="G487" s="3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3"/>
      <c r="B488" s="9"/>
      <c r="C488" s="3"/>
      <c r="D488" s="33"/>
      <c r="E488" s="32"/>
      <c r="F488" s="32"/>
      <c r="G488" s="3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3"/>
      <c r="B489" s="9"/>
      <c r="C489" s="3"/>
      <c r="D489" s="33"/>
      <c r="E489" s="32"/>
      <c r="F489" s="32"/>
      <c r="G489" s="3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3"/>
      <c r="B490" s="9"/>
      <c r="C490" s="3"/>
      <c r="D490" s="33"/>
      <c r="E490" s="32"/>
      <c r="F490" s="32"/>
      <c r="G490" s="3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3"/>
      <c r="B491" s="9"/>
      <c r="C491" s="3"/>
      <c r="D491" s="33"/>
      <c r="E491" s="32"/>
      <c r="F491" s="32"/>
      <c r="G491" s="3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3"/>
      <c r="B492" s="9"/>
      <c r="C492" s="3"/>
      <c r="D492" s="33"/>
      <c r="E492" s="32"/>
      <c r="F492" s="32"/>
      <c r="G492" s="3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3"/>
      <c r="B493" s="9"/>
      <c r="C493" s="3"/>
      <c r="D493" s="33"/>
      <c r="E493" s="32"/>
      <c r="F493" s="32"/>
      <c r="G493" s="3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3"/>
      <c r="B494" s="9"/>
      <c r="C494" s="3"/>
      <c r="D494" s="33"/>
      <c r="E494" s="32"/>
      <c r="F494" s="32"/>
      <c r="G494" s="3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3"/>
      <c r="B495" s="9"/>
      <c r="C495" s="3"/>
      <c r="D495" s="33"/>
      <c r="E495" s="32"/>
      <c r="F495" s="32"/>
      <c r="G495" s="3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3"/>
      <c r="B496" s="9"/>
      <c r="C496" s="3"/>
      <c r="D496" s="33"/>
      <c r="E496" s="32"/>
      <c r="F496" s="32"/>
      <c r="G496" s="3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3"/>
      <c r="B497" s="9"/>
      <c r="C497" s="3"/>
      <c r="D497" s="33"/>
      <c r="E497" s="32"/>
      <c r="F497" s="32"/>
      <c r="G497" s="3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3"/>
      <c r="B498" s="9"/>
      <c r="C498" s="3"/>
      <c r="D498" s="33"/>
      <c r="E498" s="32"/>
      <c r="F498" s="32"/>
      <c r="G498" s="3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3"/>
      <c r="B499" s="9"/>
      <c r="C499" s="3"/>
      <c r="D499" s="33"/>
      <c r="E499" s="32"/>
      <c r="F499" s="32"/>
      <c r="G499" s="3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3"/>
      <c r="B500" s="9"/>
      <c r="C500" s="3"/>
      <c r="D500" s="33"/>
      <c r="E500" s="32"/>
      <c r="F500" s="32"/>
      <c r="G500" s="3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3"/>
      <c r="B501" s="9"/>
      <c r="C501" s="3"/>
      <c r="D501" s="33"/>
      <c r="E501" s="32"/>
      <c r="F501" s="32"/>
      <c r="G501" s="3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3"/>
      <c r="B502" s="9"/>
      <c r="C502" s="3"/>
      <c r="D502" s="33"/>
      <c r="E502" s="32"/>
      <c r="F502" s="32"/>
      <c r="G502" s="3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3"/>
      <c r="B503" s="9"/>
      <c r="C503" s="3"/>
      <c r="D503" s="33"/>
      <c r="E503" s="32"/>
      <c r="F503" s="32"/>
      <c r="G503" s="3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3"/>
      <c r="B504" s="9"/>
      <c r="C504" s="3"/>
      <c r="D504" s="33"/>
      <c r="E504" s="32"/>
      <c r="F504" s="32"/>
      <c r="G504" s="3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3"/>
      <c r="B505" s="9"/>
      <c r="C505" s="3"/>
      <c r="D505" s="33"/>
      <c r="E505" s="32"/>
      <c r="F505" s="32"/>
      <c r="G505" s="3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3"/>
      <c r="B506" s="9"/>
      <c r="C506" s="3"/>
      <c r="D506" s="33"/>
      <c r="E506" s="32"/>
      <c r="F506" s="32"/>
      <c r="G506" s="3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3"/>
      <c r="B507" s="9"/>
      <c r="C507" s="3"/>
      <c r="D507" s="33"/>
      <c r="E507" s="32"/>
      <c r="F507" s="32"/>
      <c r="G507" s="3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3"/>
      <c r="B508" s="9"/>
      <c r="C508" s="3"/>
      <c r="D508" s="33"/>
      <c r="E508" s="32"/>
      <c r="F508" s="32"/>
      <c r="G508" s="3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3"/>
      <c r="B509" s="9"/>
      <c r="C509" s="3"/>
      <c r="D509" s="33"/>
      <c r="E509" s="32"/>
      <c r="F509" s="32"/>
      <c r="G509" s="3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3"/>
      <c r="B510" s="9"/>
      <c r="C510" s="3"/>
      <c r="D510" s="33"/>
      <c r="E510" s="32"/>
      <c r="F510" s="32"/>
      <c r="G510" s="3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3"/>
      <c r="B511" s="9"/>
      <c r="C511" s="3"/>
      <c r="D511" s="33"/>
      <c r="E511" s="32"/>
      <c r="F511" s="32"/>
      <c r="G511" s="3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3"/>
      <c r="B512" s="9"/>
      <c r="C512" s="3"/>
      <c r="D512" s="33"/>
      <c r="E512" s="32"/>
      <c r="F512" s="32"/>
      <c r="G512" s="3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3"/>
      <c r="B513" s="9"/>
      <c r="C513" s="3"/>
      <c r="D513" s="33"/>
      <c r="E513" s="32"/>
      <c r="F513" s="32"/>
      <c r="G513" s="3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3"/>
      <c r="B514" s="9"/>
      <c r="C514" s="3"/>
      <c r="D514" s="33"/>
      <c r="E514" s="32"/>
      <c r="F514" s="32"/>
      <c r="G514" s="3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3"/>
      <c r="B515" s="9"/>
      <c r="C515" s="3"/>
      <c r="D515" s="33"/>
      <c r="E515" s="32"/>
      <c r="F515" s="32"/>
      <c r="G515" s="3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3"/>
      <c r="B516" s="9"/>
      <c r="C516" s="3"/>
      <c r="D516" s="33"/>
      <c r="E516" s="32"/>
      <c r="F516" s="32"/>
      <c r="G516" s="3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3"/>
      <c r="B517" s="9"/>
      <c r="C517" s="3"/>
      <c r="D517" s="33"/>
      <c r="E517" s="32"/>
      <c r="F517" s="32"/>
      <c r="G517" s="3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3"/>
      <c r="B518" s="9"/>
      <c r="C518" s="3"/>
      <c r="D518" s="33"/>
      <c r="E518" s="32"/>
      <c r="F518" s="32"/>
      <c r="G518" s="3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3"/>
      <c r="B519" s="9"/>
      <c r="C519" s="3"/>
      <c r="D519" s="33"/>
      <c r="E519" s="32"/>
      <c r="F519" s="32"/>
      <c r="G519" s="3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3"/>
      <c r="B520" s="9"/>
      <c r="C520" s="3"/>
      <c r="D520" s="33"/>
      <c r="E520" s="32"/>
      <c r="F520" s="32"/>
      <c r="G520" s="3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3"/>
      <c r="B521" s="9"/>
      <c r="C521" s="3"/>
      <c r="D521" s="33"/>
      <c r="E521" s="32"/>
      <c r="F521" s="32"/>
      <c r="G521" s="3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3"/>
      <c r="B522" s="9"/>
      <c r="C522" s="3"/>
      <c r="D522" s="33"/>
      <c r="E522" s="32"/>
      <c r="F522" s="32"/>
      <c r="G522" s="3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3"/>
      <c r="B523" s="9"/>
      <c r="C523" s="3"/>
      <c r="D523" s="33"/>
      <c r="E523" s="32"/>
      <c r="F523" s="32"/>
      <c r="G523" s="3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3"/>
      <c r="B524" s="9"/>
      <c r="C524" s="3"/>
      <c r="D524" s="33"/>
      <c r="E524" s="32"/>
      <c r="F524" s="32"/>
      <c r="G524" s="3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3"/>
      <c r="B525" s="9"/>
      <c r="C525" s="3"/>
      <c r="D525" s="33"/>
      <c r="E525" s="32"/>
      <c r="F525" s="32"/>
      <c r="G525" s="3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3"/>
      <c r="B526" s="9"/>
      <c r="C526" s="3"/>
      <c r="D526" s="33"/>
      <c r="E526" s="32"/>
      <c r="F526" s="32"/>
      <c r="G526" s="3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3"/>
      <c r="B527" s="9"/>
      <c r="C527" s="3"/>
      <c r="D527" s="33"/>
      <c r="E527" s="32"/>
      <c r="F527" s="32"/>
      <c r="G527" s="3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3"/>
      <c r="B528" s="9"/>
      <c r="C528" s="3"/>
      <c r="D528" s="33"/>
      <c r="E528" s="32"/>
      <c r="F528" s="32"/>
      <c r="G528" s="3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3"/>
      <c r="B529" s="9"/>
      <c r="C529" s="3"/>
      <c r="D529" s="33"/>
      <c r="E529" s="32"/>
      <c r="F529" s="32"/>
      <c r="G529" s="3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3"/>
      <c r="B530" s="9"/>
      <c r="C530" s="3"/>
      <c r="D530" s="33"/>
      <c r="E530" s="32"/>
      <c r="F530" s="32"/>
      <c r="G530" s="3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3"/>
      <c r="B531" s="9"/>
      <c r="C531" s="3"/>
      <c r="D531" s="33"/>
      <c r="E531" s="32"/>
      <c r="F531" s="32"/>
      <c r="G531" s="3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3"/>
      <c r="B532" s="9"/>
      <c r="C532" s="3"/>
      <c r="D532" s="33"/>
      <c r="E532" s="32"/>
      <c r="F532" s="32"/>
      <c r="G532" s="3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3"/>
      <c r="B533" s="9"/>
      <c r="C533" s="3"/>
      <c r="D533" s="33"/>
      <c r="E533" s="32"/>
      <c r="F533" s="32"/>
      <c r="G533" s="3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3"/>
      <c r="B534" s="9"/>
      <c r="C534" s="3"/>
      <c r="D534" s="33"/>
      <c r="E534" s="32"/>
      <c r="F534" s="32"/>
      <c r="G534" s="3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3"/>
      <c r="B535" s="9"/>
      <c r="C535" s="3"/>
      <c r="D535" s="33"/>
      <c r="E535" s="32"/>
      <c r="F535" s="32"/>
      <c r="G535" s="3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3"/>
      <c r="B536" s="9"/>
      <c r="C536" s="3"/>
      <c r="D536" s="33"/>
      <c r="E536" s="32"/>
      <c r="F536" s="32"/>
      <c r="G536" s="3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3"/>
      <c r="B537" s="9"/>
      <c r="C537" s="3"/>
      <c r="D537" s="33"/>
      <c r="E537" s="32"/>
      <c r="F537" s="32"/>
      <c r="G537" s="3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3"/>
      <c r="B538" s="9"/>
      <c r="C538" s="3"/>
      <c r="D538" s="33"/>
      <c r="E538" s="32"/>
      <c r="F538" s="32"/>
      <c r="G538" s="3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3"/>
      <c r="B539" s="9"/>
      <c r="C539" s="3"/>
      <c r="D539" s="33"/>
      <c r="E539" s="32"/>
      <c r="F539" s="32"/>
      <c r="G539" s="3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3"/>
      <c r="B540" s="9"/>
      <c r="C540" s="3"/>
      <c r="D540" s="33"/>
      <c r="E540" s="32"/>
      <c r="F540" s="32"/>
      <c r="G540" s="3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3"/>
      <c r="B541" s="9"/>
      <c r="C541" s="3"/>
      <c r="D541" s="33"/>
      <c r="E541" s="32"/>
      <c r="F541" s="32"/>
      <c r="G541" s="3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3"/>
      <c r="B542" s="9"/>
      <c r="C542" s="3"/>
      <c r="D542" s="33"/>
      <c r="E542" s="32"/>
      <c r="F542" s="32"/>
      <c r="G542" s="3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3"/>
      <c r="B543" s="9"/>
      <c r="C543" s="3"/>
      <c r="D543" s="33"/>
      <c r="E543" s="32"/>
      <c r="F543" s="32"/>
      <c r="G543" s="3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3"/>
      <c r="B544" s="9"/>
      <c r="C544" s="3"/>
      <c r="D544" s="33"/>
      <c r="E544" s="32"/>
      <c r="F544" s="32"/>
      <c r="G544" s="3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3"/>
      <c r="B545" s="9"/>
      <c r="C545" s="3"/>
      <c r="D545" s="33"/>
      <c r="E545" s="32"/>
      <c r="F545" s="32"/>
      <c r="G545" s="3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3"/>
      <c r="B546" s="9"/>
      <c r="C546" s="3"/>
      <c r="D546" s="33"/>
      <c r="E546" s="32"/>
      <c r="F546" s="32"/>
      <c r="G546" s="3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3"/>
      <c r="B547" s="9"/>
      <c r="C547" s="3"/>
      <c r="D547" s="33"/>
      <c r="E547" s="32"/>
      <c r="F547" s="32"/>
      <c r="G547" s="3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3"/>
      <c r="B548" s="9"/>
      <c r="C548" s="3"/>
      <c r="D548" s="33"/>
      <c r="E548" s="32"/>
      <c r="F548" s="32"/>
      <c r="G548" s="3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3"/>
      <c r="B549" s="9"/>
      <c r="C549" s="3"/>
      <c r="D549" s="33"/>
      <c r="E549" s="32"/>
      <c r="F549" s="32"/>
      <c r="G549" s="3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3"/>
      <c r="B550" s="9"/>
      <c r="C550" s="3"/>
      <c r="D550" s="33"/>
      <c r="E550" s="32"/>
      <c r="F550" s="32"/>
      <c r="G550" s="3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3"/>
      <c r="B551" s="9"/>
      <c r="C551" s="3"/>
      <c r="D551" s="33"/>
      <c r="E551" s="32"/>
      <c r="F551" s="32"/>
      <c r="G551" s="3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3"/>
      <c r="B552" s="9"/>
      <c r="C552" s="3"/>
      <c r="D552" s="33"/>
      <c r="E552" s="32"/>
      <c r="F552" s="32"/>
      <c r="G552" s="3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3"/>
      <c r="B553" s="9"/>
      <c r="C553" s="3"/>
      <c r="D553" s="33"/>
      <c r="E553" s="32"/>
      <c r="F553" s="32"/>
      <c r="G553" s="3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3"/>
      <c r="B554" s="9"/>
      <c r="C554" s="3"/>
      <c r="D554" s="33"/>
      <c r="E554" s="32"/>
      <c r="F554" s="32"/>
      <c r="G554" s="3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3"/>
      <c r="B555" s="9"/>
      <c r="C555" s="3"/>
      <c r="D555" s="33"/>
      <c r="E555" s="32"/>
      <c r="F555" s="32"/>
      <c r="G555" s="3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3"/>
      <c r="B556" s="9"/>
      <c r="C556" s="3"/>
      <c r="D556" s="33"/>
      <c r="E556" s="32"/>
      <c r="F556" s="32"/>
      <c r="G556" s="3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3"/>
      <c r="B557" s="9"/>
      <c r="C557" s="3"/>
      <c r="D557" s="33"/>
      <c r="E557" s="32"/>
      <c r="F557" s="32"/>
      <c r="G557" s="3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3"/>
      <c r="B558" s="9"/>
      <c r="C558" s="3"/>
      <c r="D558" s="33"/>
      <c r="E558" s="32"/>
      <c r="F558" s="32"/>
      <c r="G558" s="3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3"/>
      <c r="B559" s="9"/>
      <c r="C559" s="3"/>
      <c r="D559" s="33"/>
      <c r="E559" s="32"/>
      <c r="F559" s="32"/>
      <c r="G559" s="3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3"/>
      <c r="B560" s="9"/>
      <c r="C560" s="3"/>
      <c r="D560" s="33"/>
      <c r="E560" s="32"/>
      <c r="F560" s="32"/>
      <c r="G560" s="3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3"/>
      <c r="B561" s="9"/>
      <c r="C561" s="3"/>
      <c r="D561" s="33"/>
      <c r="E561" s="32"/>
      <c r="F561" s="32"/>
      <c r="G561" s="3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3"/>
      <c r="B562" s="9"/>
      <c r="C562" s="3"/>
      <c r="D562" s="33"/>
      <c r="E562" s="32"/>
      <c r="F562" s="32"/>
      <c r="G562" s="3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3"/>
      <c r="B563" s="9"/>
      <c r="C563" s="3"/>
      <c r="D563" s="33"/>
      <c r="E563" s="32"/>
      <c r="F563" s="32"/>
      <c r="G563" s="3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3"/>
      <c r="B564" s="9"/>
      <c r="C564" s="3"/>
      <c r="D564" s="33"/>
      <c r="E564" s="32"/>
      <c r="F564" s="32"/>
      <c r="G564" s="3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3"/>
      <c r="B565" s="9"/>
      <c r="C565" s="3"/>
      <c r="D565" s="33"/>
      <c r="E565" s="32"/>
      <c r="F565" s="32"/>
      <c r="G565" s="3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3"/>
      <c r="B566" s="9"/>
      <c r="C566" s="3"/>
      <c r="D566" s="33"/>
      <c r="E566" s="32"/>
      <c r="F566" s="32"/>
      <c r="G566" s="3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3"/>
      <c r="B567" s="9"/>
      <c r="C567" s="3"/>
      <c r="D567" s="33"/>
      <c r="E567" s="32"/>
      <c r="F567" s="32"/>
      <c r="G567" s="3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3"/>
      <c r="B568" s="9"/>
      <c r="C568" s="3"/>
      <c r="D568" s="33"/>
      <c r="E568" s="32"/>
      <c r="F568" s="32"/>
      <c r="G568" s="3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3"/>
      <c r="B569" s="9"/>
      <c r="C569" s="3"/>
      <c r="D569" s="33"/>
      <c r="E569" s="32"/>
      <c r="F569" s="32"/>
      <c r="G569" s="3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3"/>
      <c r="B570" s="9"/>
      <c r="C570" s="3"/>
      <c r="D570" s="33"/>
      <c r="E570" s="32"/>
      <c r="F570" s="32"/>
      <c r="G570" s="3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3"/>
      <c r="B571" s="9"/>
      <c r="C571" s="3"/>
      <c r="D571" s="33"/>
      <c r="E571" s="32"/>
      <c r="F571" s="32"/>
      <c r="G571" s="3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3"/>
      <c r="B572" s="9"/>
      <c r="C572" s="3"/>
      <c r="D572" s="33"/>
      <c r="E572" s="32"/>
      <c r="F572" s="32"/>
      <c r="G572" s="3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3"/>
      <c r="B573" s="9"/>
      <c r="C573" s="3"/>
      <c r="D573" s="33"/>
      <c r="E573" s="32"/>
      <c r="F573" s="32"/>
      <c r="G573" s="3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3"/>
      <c r="B574" s="9"/>
      <c r="C574" s="3"/>
      <c r="D574" s="33"/>
      <c r="E574" s="32"/>
      <c r="F574" s="32"/>
      <c r="G574" s="3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3"/>
      <c r="B575" s="9"/>
      <c r="C575" s="3"/>
      <c r="D575" s="33"/>
      <c r="E575" s="32"/>
      <c r="F575" s="32"/>
      <c r="G575" s="3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3"/>
      <c r="B576" s="9"/>
      <c r="C576" s="3"/>
      <c r="D576" s="33"/>
      <c r="E576" s="32"/>
      <c r="F576" s="32"/>
      <c r="G576" s="3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3"/>
      <c r="B577" s="9"/>
      <c r="C577" s="3"/>
      <c r="D577" s="33"/>
      <c r="E577" s="32"/>
      <c r="F577" s="32"/>
      <c r="G577" s="3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3"/>
      <c r="B578" s="9"/>
      <c r="C578" s="3"/>
      <c r="D578" s="33"/>
      <c r="E578" s="32"/>
      <c r="F578" s="32"/>
      <c r="G578" s="3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3"/>
      <c r="B579" s="9"/>
      <c r="C579" s="3"/>
      <c r="D579" s="33"/>
      <c r="E579" s="32"/>
      <c r="F579" s="32"/>
      <c r="G579" s="3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3"/>
      <c r="B580" s="9"/>
      <c r="C580" s="3"/>
      <c r="D580" s="33"/>
      <c r="E580" s="32"/>
      <c r="F580" s="32"/>
      <c r="G580" s="3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3"/>
      <c r="B581" s="9"/>
      <c r="C581" s="3"/>
      <c r="D581" s="33"/>
      <c r="E581" s="32"/>
      <c r="F581" s="32"/>
      <c r="G581" s="3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3"/>
      <c r="B582" s="9"/>
      <c r="C582" s="3"/>
      <c r="D582" s="33"/>
      <c r="E582" s="32"/>
      <c r="F582" s="32"/>
      <c r="G582" s="3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3"/>
      <c r="B583" s="9"/>
      <c r="C583" s="3"/>
      <c r="D583" s="33"/>
      <c r="E583" s="32"/>
      <c r="F583" s="32"/>
      <c r="G583" s="3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3"/>
      <c r="B584" s="9"/>
      <c r="C584" s="3"/>
      <c r="D584" s="33"/>
      <c r="E584" s="32"/>
      <c r="F584" s="32"/>
      <c r="G584" s="3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3"/>
      <c r="B585" s="9"/>
      <c r="C585" s="3"/>
      <c r="D585" s="33"/>
      <c r="E585" s="32"/>
      <c r="F585" s="32"/>
      <c r="G585" s="3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3"/>
      <c r="B586" s="9"/>
      <c r="C586" s="3"/>
      <c r="D586" s="33"/>
      <c r="E586" s="32"/>
      <c r="F586" s="32"/>
      <c r="G586" s="3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3"/>
      <c r="B587" s="9"/>
      <c r="C587" s="3"/>
      <c r="D587" s="33"/>
      <c r="E587" s="32"/>
      <c r="F587" s="32"/>
      <c r="G587" s="3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3"/>
      <c r="B588" s="9"/>
      <c r="C588" s="3"/>
      <c r="D588" s="33"/>
      <c r="E588" s="32"/>
      <c r="F588" s="32"/>
      <c r="G588" s="3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3"/>
      <c r="B589" s="9"/>
      <c r="C589" s="3"/>
      <c r="D589" s="33"/>
      <c r="E589" s="32"/>
      <c r="F589" s="32"/>
      <c r="G589" s="3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3"/>
      <c r="B590" s="9"/>
      <c r="C590" s="3"/>
      <c r="D590" s="33"/>
      <c r="E590" s="32"/>
      <c r="F590" s="32"/>
      <c r="G590" s="3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3"/>
      <c r="B591" s="9"/>
      <c r="C591" s="3"/>
      <c r="D591" s="33"/>
      <c r="E591" s="32"/>
      <c r="F591" s="32"/>
      <c r="G591" s="3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3"/>
      <c r="B592" s="9"/>
      <c r="C592" s="3"/>
      <c r="D592" s="33"/>
      <c r="E592" s="32"/>
      <c r="F592" s="32"/>
      <c r="G592" s="3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3"/>
      <c r="B593" s="9"/>
      <c r="C593" s="3"/>
      <c r="D593" s="33"/>
      <c r="E593" s="32"/>
      <c r="F593" s="32"/>
      <c r="G593" s="3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3"/>
      <c r="B594" s="9"/>
      <c r="C594" s="3"/>
      <c r="D594" s="33"/>
      <c r="E594" s="32"/>
      <c r="F594" s="32"/>
      <c r="G594" s="3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3"/>
      <c r="B595" s="9"/>
      <c r="C595" s="3"/>
      <c r="D595" s="33"/>
      <c r="E595" s="32"/>
      <c r="F595" s="32"/>
      <c r="G595" s="3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3"/>
      <c r="B596" s="9"/>
      <c r="C596" s="3"/>
      <c r="D596" s="33"/>
      <c r="E596" s="32"/>
      <c r="F596" s="32"/>
      <c r="G596" s="3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3"/>
      <c r="B597" s="9"/>
      <c r="C597" s="3"/>
      <c r="D597" s="33"/>
      <c r="E597" s="32"/>
      <c r="F597" s="32"/>
      <c r="G597" s="3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3"/>
      <c r="B598" s="9"/>
      <c r="C598" s="3"/>
      <c r="D598" s="33"/>
      <c r="E598" s="32"/>
      <c r="F598" s="32"/>
      <c r="G598" s="3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3"/>
      <c r="B599" s="9"/>
      <c r="C599" s="3"/>
      <c r="D599" s="33"/>
      <c r="E599" s="32"/>
      <c r="F599" s="32"/>
      <c r="G599" s="3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3"/>
      <c r="B600" s="9"/>
      <c r="C600" s="3"/>
      <c r="D600" s="33"/>
      <c r="E600" s="32"/>
      <c r="F600" s="32"/>
      <c r="G600" s="3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3"/>
      <c r="B601" s="9"/>
      <c r="C601" s="3"/>
      <c r="D601" s="33"/>
      <c r="E601" s="32"/>
      <c r="F601" s="32"/>
      <c r="G601" s="3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3"/>
      <c r="B602" s="9"/>
      <c r="C602" s="3"/>
      <c r="D602" s="33"/>
      <c r="E602" s="32"/>
      <c r="F602" s="32"/>
      <c r="G602" s="3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3"/>
      <c r="B603" s="9"/>
      <c r="C603" s="3"/>
      <c r="D603" s="33"/>
      <c r="E603" s="32"/>
      <c r="F603" s="32"/>
      <c r="G603" s="3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3"/>
      <c r="B604" s="9"/>
      <c r="C604" s="3"/>
      <c r="D604" s="33"/>
      <c r="E604" s="32"/>
      <c r="F604" s="32"/>
      <c r="G604" s="3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3"/>
      <c r="B605" s="9"/>
      <c r="C605" s="3"/>
      <c r="D605" s="33"/>
      <c r="E605" s="32"/>
      <c r="F605" s="32"/>
      <c r="G605" s="3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3"/>
      <c r="B606" s="9"/>
      <c r="C606" s="3"/>
      <c r="D606" s="33"/>
      <c r="E606" s="32"/>
      <c r="F606" s="32"/>
      <c r="G606" s="3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3"/>
      <c r="B607" s="9"/>
      <c r="C607" s="3"/>
      <c r="D607" s="33"/>
      <c r="E607" s="32"/>
      <c r="F607" s="32"/>
      <c r="G607" s="3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3"/>
      <c r="B608" s="9"/>
      <c r="C608" s="3"/>
      <c r="D608" s="33"/>
      <c r="E608" s="32"/>
      <c r="F608" s="32"/>
      <c r="G608" s="3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3"/>
      <c r="B609" s="9"/>
      <c r="C609" s="3"/>
      <c r="D609" s="33"/>
      <c r="E609" s="32"/>
      <c r="F609" s="32"/>
      <c r="G609" s="3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3"/>
      <c r="B610" s="9"/>
      <c r="C610" s="3"/>
      <c r="D610" s="33"/>
      <c r="E610" s="32"/>
      <c r="F610" s="32"/>
      <c r="G610" s="3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3"/>
      <c r="B611" s="9"/>
      <c r="C611" s="3"/>
      <c r="D611" s="33"/>
      <c r="E611" s="32"/>
      <c r="F611" s="32"/>
      <c r="G611" s="3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3"/>
      <c r="B612" s="9"/>
      <c r="C612" s="3"/>
      <c r="D612" s="33"/>
      <c r="E612" s="32"/>
      <c r="F612" s="32"/>
      <c r="G612" s="3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3"/>
      <c r="B613" s="9"/>
      <c r="C613" s="3"/>
      <c r="D613" s="33"/>
      <c r="E613" s="32"/>
      <c r="F613" s="32"/>
      <c r="G613" s="3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3"/>
      <c r="B614" s="9"/>
      <c r="C614" s="3"/>
      <c r="D614" s="33"/>
      <c r="E614" s="32"/>
      <c r="F614" s="32"/>
      <c r="G614" s="3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3"/>
      <c r="B615" s="9"/>
      <c r="C615" s="3"/>
      <c r="D615" s="33"/>
      <c r="E615" s="32"/>
      <c r="F615" s="32"/>
      <c r="G615" s="3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3"/>
      <c r="B616" s="9"/>
      <c r="C616" s="3"/>
      <c r="D616" s="33"/>
      <c r="E616" s="32"/>
      <c r="F616" s="32"/>
      <c r="G616" s="3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3"/>
      <c r="B617" s="9"/>
      <c r="C617" s="3"/>
      <c r="D617" s="33"/>
      <c r="E617" s="32"/>
      <c r="F617" s="32"/>
      <c r="G617" s="3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3"/>
      <c r="B618" s="9"/>
      <c r="C618" s="3"/>
      <c r="D618" s="33"/>
      <c r="E618" s="32"/>
      <c r="F618" s="32"/>
      <c r="G618" s="3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3"/>
      <c r="B619" s="9"/>
      <c r="C619" s="3"/>
      <c r="D619" s="33"/>
      <c r="E619" s="32"/>
      <c r="F619" s="32"/>
      <c r="G619" s="3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3"/>
      <c r="B620" s="9"/>
      <c r="C620" s="3"/>
      <c r="D620" s="33"/>
      <c r="E620" s="32"/>
      <c r="F620" s="32"/>
      <c r="G620" s="3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3"/>
      <c r="B621" s="9"/>
      <c r="C621" s="3"/>
      <c r="D621" s="33"/>
      <c r="E621" s="32"/>
      <c r="F621" s="32"/>
      <c r="G621" s="3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3"/>
      <c r="B622" s="9"/>
      <c r="C622" s="3"/>
      <c r="D622" s="33"/>
      <c r="E622" s="32"/>
      <c r="F622" s="32"/>
      <c r="G622" s="3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3"/>
      <c r="B623" s="9"/>
      <c r="C623" s="3"/>
      <c r="D623" s="33"/>
      <c r="E623" s="32"/>
      <c r="F623" s="32"/>
      <c r="G623" s="3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3"/>
      <c r="B624" s="9"/>
      <c r="C624" s="3"/>
      <c r="D624" s="33"/>
      <c r="E624" s="32"/>
      <c r="F624" s="32"/>
      <c r="G624" s="3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3"/>
      <c r="B625" s="9"/>
      <c r="C625" s="3"/>
      <c r="D625" s="33"/>
      <c r="E625" s="32"/>
      <c r="F625" s="32"/>
      <c r="G625" s="3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3"/>
      <c r="B626" s="9"/>
      <c r="C626" s="3"/>
      <c r="D626" s="33"/>
      <c r="E626" s="32"/>
      <c r="F626" s="32"/>
      <c r="G626" s="3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3"/>
      <c r="B627" s="9"/>
      <c r="C627" s="3"/>
      <c r="D627" s="33"/>
      <c r="E627" s="32"/>
      <c r="F627" s="32"/>
      <c r="G627" s="3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3"/>
      <c r="B628" s="9"/>
      <c r="C628" s="3"/>
      <c r="D628" s="33"/>
      <c r="E628" s="32"/>
      <c r="F628" s="32"/>
      <c r="G628" s="3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3"/>
      <c r="B629" s="9"/>
      <c r="C629" s="3"/>
      <c r="D629" s="33"/>
      <c r="E629" s="32"/>
      <c r="F629" s="32"/>
      <c r="G629" s="3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3"/>
      <c r="B630" s="9"/>
      <c r="C630" s="3"/>
      <c r="D630" s="33"/>
      <c r="E630" s="32"/>
      <c r="F630" s="32"/>
      <c r="G630" s="3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3"/>
      <c r="B631" s="9"/>
      <c r="C631" s="3"/>
      <c r="D631" s="33"/>
      <c r="E631" s="32"/>
      <c r="F631" s="32"/>
      <c r="G631" s="3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3"/>
      <c r="B632" s="9"/>
      <c r="C632" s="3"/>
      <c r="D632" s="33"/>
      <c r="E632" s="32"/>
      <c r="F632" s="32"/>
      <c r="G632" s="3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3"/>
      <c r="B633" s="9"/>
      <c r="C633" s="3"/>
      <c r="D633" s="33"/>
      <c r="E633" s="32"/>
      <c r="F633" s="32"/>
      <c r="G633" s="3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3"/>
      <c r="B634" s="9"/>
      <c r="C634" s="3"/>
      <c r="D634" s="33"/>
      <c r="E634" s="32"/>
      <c r="F634" s="32"/>
      <c r="G634" s="3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3"/>
      <c r="B635" s="9"/>
      <c r="C635" s="3"/>
      <c r="D635" s="33"/>
      <c r="E635" s="32"/>
      <c r="F635" s="32"/>
      <c r="G635" s="3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3"/>
      <c r="B636" s="9"/>
      <c r="C636" s="3"/>
      <c r="D636" s="33"/>
      <c r="E636" s="32"/>
      <c r="F636" s="32"/>
      <c r="G636" s="3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3"/>
      <c r="B637" s="9"/>
      <c r="C637" s="3"/>
      <c r="D637" s="33"/>
      <c r="E637" s="32"/>
      <c r="F637" s="32"/>
      <c r="G637" s="3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3"/>
      <c r="B638" s="9"/>
      <c r="C638" s="3"/>
      <c r="D638" s="33"/>
      <c r="E638" s="32"/>
      <c r="F638" s="32"/>
      <c r="G638" s="3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3"/>
      <c r="B639" s="9"/>
      <c r="C639" s="3"/>
      <c r="D639" s="33"/>
      <c r="E639" s="32"/>
      <c r="F639" s="32"/>
      <c r="G639" s="3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3"/>
      <c r="B640" s="9"/>
      <c r="C640" s="3"/>
      <c r="D640" s="33"/>
      <c r="E640" s="32"/>
      <c r="F640" s="32"/>
      <c r="G640" s="3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3"/>
      <c r="B641" s="9"/>
      <c r="C641" s="3"/>
      <c r="D641" s="33"/>
      <c r="E641" s="32"/>
      <c r="F641" s="32"/>
      <c r="G641" s="3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3"/>
      <c r="B642" s="9"/>
      <c r="C642" s="3"/>
      <c r="D642" s="33"/>
      <c r="E642" s="32"/>
      <c r="F642" s="32"/>
      <c r="G642" s="3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3"/>
      <c r="B643" s="9"/>
      <c r="C643" s="3"/>
      <c r="D643" s="33"/>
      <c r="E643" s="32"/>
      <c r="F643" s="32"/>
      <c r="G643" s="3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3"/>
      <c r="B644" s="9"/>
      <c r="C644" s="3"/>
      <c r="D644" s="33"/>
      <c r="E644" s="32"/>
      <c r="F644" s="32"/>
      <c r="G644" s="3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3"/>
      <c r="B645" s="9"/>
      <c r="C645" s="3"/>
      <c r="D645" s="33"/>
      <c r="E645" s="32"/>
      <c r="F645" s="32"/>
      <c r="G645" s="3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3"/>
      <c r="B646" s="9"/>
      <c r="C646" s="3"/>
      <c r="D646" s="33"/>
      <c r="E646" s="32"/>
      <c r="F646" s="32"/>
      <c r="G646" s="3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3"/>
      <c r="B647" s="9"/>
      <c r="C647" s="3"/>
      <c r="D647" s="33"/>
      <c r="E647" s="32"/>
      <c r="F647" s="32"/>
      <c r="G647" s="3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3"/>
      <c r="B648" s="9"/>
      <c r="C648" s="3"/>
      <c r="D648" s="33"/>
      <c r="E648" s="32"/>
      <c r="F648" s="32"/>
      <c r="G648" s="3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3"/>
      <c r="B649" s="9"/>
      <c r="C649" s="3"/>
      <c r="D649" s="33"/>
      <c r="E649" s="32"/>
      <c r="F649" s="32"/>
      <c r="G649" s="3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3"/>
      <c r="B650" s="9"/>
      <c r="C650" s="3"/>
      <c r="D650" s="33"/>
      <c r="E650" s="32"/>
      <c r="F650" s="32"/>
      <c r="G650" s="3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3"/>
      <c r="B651" s="9"/>
      <c r="C651" s="3"/>
      <c r="D651" s="33"/>
      <c r="E651" s="32"/>
      <c r="F651" s="32"/>
      <c r="G651" s="3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3"/>
      <c r="B652" s="9"/>
      <c r="C652" s="3"/>
      <c r="D652" s="33"/>
      <c r="E652" s="32"/>
      <c r="F652" s="32"/>
      <c r="G652" s="3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3"/>
      <c r="B653" s="9"/>
      <c r="C653" s="3"/>
      <c r="D653" s="33"/>
      <c r="E653" s="32"/>
      <c r="F653" s="32"/>
      <c r="G653" s="3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3"/>
      <c r="B654" s="9"/>
      <c r="C654" s="3"/>
      <c r="D654" s="33"/>
      <c r="E654" s="32"/>
      <c r="F654" s="32"/>
      <c r="G654" s="3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3"/>
      <c r="B655" s="9"/>
      <c r="C655" s="3"/>
      <c r="D655" s="33"/>
      <c r="E655" s="32"/>
      <c r="F655" s="32"/>
      <c r="G655" s="3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3"/>
      <c r="B656" s="9"/>
      <c r="C656" s="3"/>
      <c r="D656" s="33"/>
      <c r="E656" s="32"/>
      <c r="F656" s="32"/>
      <c r="G656" s="3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3"/>
      <c r="B657" s="9"/>
      <c r="C657" s="3"/>
      <c r="D657" s="33"/>
      <c r="E657" s="32"/>
      <c r="F657" s="32"/>
      <c r="G657" s="3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3"/>
      <c r="B658" s="9"/>
      <c r="C658" s="3"/>
      <c r="D658" s="33"/>
      <c r="E658" s="32"/>
      <c r="F658" s="32"/>
      <c r="G658" s="3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3"/>
      <c r="B659" s="9"/>
      <c r="C659" s="3"/>
      <c r="D659" s="33"/>
      <c r="E659" s="32"/>
      <c r="F659" s="32"/>
      <c r="G659" s="3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3"/>
      <c r="B660" s="9"/>
      <c r="C660" s="3"/>
      <c r="D660" s="33"/>
      <c r="E660" s="32"/>
      <c r="F660" s="32"/>
      <c r="G660" s="3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3"/>
      <c r="B661" s="9"/>
      <c r="C661" s="3"/>
      <c r="D661" s="33"/>
      <c r="E661" s="32"/>
      <c r="F661" s="32"/>
      <c r="G661" s="3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3"/>
      <c r="B662" s="9"/>
      <c r="C662" s="3"/>
      <c r="D662" s="33"/>
      <c r="E662" s="32"/>
      <c r="F662" s="32"/>
      <c r="G662" s="3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3"/>
      <c r="B663" s="9"/>
      <c r="C663" s="3"/>
      <c r="D663" s="33"/>
      <c r="E663" s="32"/>
      <c r="F663" s="32"/>
      <c r="G663" s="3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3"/>
      <c r="B664" s="9"/>
      <c r="C664" s="3"/>
      <c r="D664" s="33"/>
      <c r="E664" s="32"/>
      <c r="F664" s="32"/>
      <c r="G664" s="3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3"/>
      <c r="B665" s="9"/>
      <c r="C665" s="3"/>
      <c r="D665" s="33"/>
      <c r="E665" s="32"/>
      <c r="F665" s="32"/>
      <c r="G665" s="3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3"/>
      <c r="B666" s="9"/>
      <c r="C666" s="3"/>
      <c r="D666" s="33"/>
      <c r="E666" s="32"/>
      <c r="F666" s="32"/>
      <c r="G666" s="3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3"/>
      <c r="B667" s="9"/>
      <c r="C667" s="3"/>
      <c r="D667" s="33"/>
      <c r="E667" s="32"/>
      <c r="F667" s="32"/>
      <c r="G667" s="3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3"/>
      <c r="B668" s="9"/>
      <c r="C668" s="3"/>
      <c r="D668" s="33"/>
      <c r="E668" s="32"/>
      <c r="F668" s="32"/>
      <c r="G668" s="3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3"/>
      <c r="B669" s="9"/>
      <c r="C669" s="3"/>
      <c r="D669" s="33"/>
      <c r="E669" s="32"/>
      <c r="F669" s="32"/>
      <c r="G669" s="3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3"/>
      <c r="B670" s="9"/>
      <c r="C670" s="3"/>
      <c r="D670" s="33"/>
      <c r="E670" s="32"/>
      <c r="F670" s="32"/>
      <c r="G670" s="3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3"/>
      <c r="B671" s="9"/>
      <c r="C671" s="3"/>
      <c r="D671" s="33"/>
      <c r="E671" s="32"/>
      <c r="F671" s="32"/>
      <c r="G671" s="3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3"/>
      <c r="B672" s="9"/>
      <c r="C672" s="3"/>
      <c r="D672" s="33"/>
      <c r="E672" s="32"/>
      <c r="F672" s="32"/>
      <c r="G672" s="3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3"/>
      <c r="B673" s="9"/>
      <c r="C673" s="3"/>
      <c r="D673" s="33"/>
      <c r="E673" s="32"/>
      <c r="F673" s="32"/>
      <c r="G673" s="3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3"/>
      <c r="B674" s="9"/>
      <c r="C674" s="3"/>
      <c r="D674" s="33"/>
      <c r="E674" s="32"/>
      <c r="F674" s="32"/>
      <c r="G674" s="3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3"/>
      <c r="B675" s="9"/>
      <c r="C675" s="3"/>
      <c r="D675" s="33"/>
      <c r="E675" s="32"/>
      <c r="F675" s="32"/>
      <c r="G675" s="3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3"/>
      <c r="B676" s="9"/>
      <c r="C676" s="3"/>
      <c r="D676" s="33"/>
      <c r="E676" s="32"/>
      <c r="F676" s="32"/>
      <c r="G676" s="3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3"/>
      <c r="B677" s="9"/>
      <c r="C677" s="3"/>
      <c r="D677" s="33"/>
      <c r="E677" s="32"/>
      <c r="F677" s="32"/>
      <c r="G677" s="3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3"/>
      <c r="B678" s="9"/>
      <c r="C678" s="3"/>
      <c r="D678" s="33"/>
      <c r="E678" s="32"/>
      <c r="F678" s="32"/>
      <c r="G678" s="3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3"/>
      <c r="B679" s="9"/>
      <c r="C679" s="3"/>
      <c r="D679" s="33"/>
      <c r="E679" s="32"/>
      <c r="F679" s="32"/>
      <c r="G679" s="3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3"/>
      <c r="B680" s="9"/>
      <c r="C680" s="3"/>
      <c r="D680" s="33"/>
      <c r="E680" s="32"/>
      <c r="F680" s="32"/>
      <c r="G680" s="3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3"/>
      <c r="B681" s="9"/>
      <c r="C681" s="3"/>
      <c r="D681" s="33"/>
      <c r="E681" s="32"/>
      <c r="F681" s="32"/>
      <c r="G681" s="3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3"/>
      <c r="B682" s="9"/>
      <c r="C682" s="3"/>
      <c r="D682" s="33"/>
      <c r="E682" s="32"/>
      <c r="F682" s="32"/>
      <c r="G682" s="3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3"/>
      <c r="B683" s="9"/>
      <c r="C683" s="3"/>
      <c r="D683" s="33"/>
      <c r="E683" s="32"/>
      <c r="F683" s="32"/>
      <c r="G683" s="3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3"/>
      <c r="B684" s="9"/>
      <c r="C684" s="3"/>
      <c r="D684" s="33"/>
      <c r="E684" s="32"/>
      <c r="F684" s="32"/>
      <c r="G684" s="3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3"/>
      <c r="B685" s="9"/>
      <c r="C685" s="3"/>
      <c r="D685" s="33"/>
      <c r="E685" s="32"/>
      <c r="F685" s="32"/>
      <c r="G685" s="3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3"/>
      <c r="B686" s="9"/>
      <c r="C686" s="3"/>
      <c r="D686" s="33"/>
      <c r="E686" s="32"/>
      <c r="F686" s="32"/>
      <c r="G686" s="3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3"/>
      <c r="B687" s="9"/>
      <c r="C687" s="3"/>
      <c r="D687" s="33"/>
      <c r="E687" s="32"/>
      <c r="F687" s="32"/>
      <c r="G687" s="3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3"/>
      <c r="B688" s="9"/>
      <c r="C688" s="3"/>
      <c r="D688" s="33"/>
      <c r="E688" s="32"/>
      <c r="F688" s="32"/>
      <c r="G688" s="3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3"/>
      <c r="B689" s="9"/>
      <c r="C689" s="3"/>
      <c r="D689" s="33"/>
      <c r="E689" s="32"/>
      <c r="F689" s="32"/>
      <c r="G689" s="3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3"/>
      <c r="B690" s="9"/>
      <c r="C690" s="3"/>
      <c r="D690" s="33"/>
      <c r="E690" s="32"/>
      <c r="F690" s="32"/>
      <c r="G690" s="3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3"/>
      <c r="B691" s="9"/>
      <c r="C691" s="3"/>
      <c r="D691" s="33"/>
      <c r="E691" s="32"/>
      <c r="F691" s="32"/>
      <c r="G691" s="3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3"/>
      <c r="B692" s="9"/>
      <c r="C692" s="3"/>
      <c r="D692" s="33"/>
      <c r="E692" s="32"/>
      <c r="F692" s="32"/>
      <c r="G692" s="3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3"/>
      <c r="B693" s="9"/>
      <c r="C693" s="3"/>
      <c r="D693" s="33"/>
      <c r="E693" s="32"/>
      <c r="F693" s="32"/>
      <c r="G693" s="3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3"/>
      <c r="B694" s="9"/>
      <c r="C694" s="3"/>
      <c r="D694" s="33"/>
      <c r="E694" s="32"/>
      <c r="F694" s="32"/>
      <c r="G694" s="3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3"/>
      <c r="B695" s="9"/>
      <c r="C695" s="3"/>
      <c r="D695" s="33"/>
      <c r="E695" s="32"/>
      <c r="F695" s="32"/>
      <c r="G695" s="3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3"/>
      <c r="B696" s="9"/>
      <c r="C696" s="3"/>
      <c r="D696" s="33"/>
      <c r="E696" s="32"/>
      <c r="F696" s="32"/>
      <c r="G696" s="3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3"/>
      <c r="B697" s="9"/>
      <c r="C697" s="3"/>
      <c r="D697" s="33"/>
      <c r="E697" s="32"/>
      <c r="F697" s="32"/>
      <c r="G697" s="3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3"/>
      <c r="B698" s="9"/>
      <c r="C698" s="3"/>
      <c r="D698" s="33"/>
      <c r="E698" s="32"/>
      <c r="F698" s="32"/>
      <c r="G698" s="3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3"/>
      <c r="B699" s="9"/>
      <c r="C699" s="3"/>
      <c r="D699" s="33"/>
      <c r="E699" s="32"/>
      <c r="F699" s="32"/>
      <c r="G699" s="3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3"/>
      <c r="B700" s="9"/>
      <c r="C700" s="3"/>
      <c r="D700" s="33"/>
      <c r="E700" s="32"/>
      <c r="F700" s="32"/>
      <c r="G700" s="3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3"/>
      <c r="B701" s="9"/>
      <c r="C701" s="3"/>
      <c r="D701" s="33"/>
      <c r="E701" s="32"/>
      <c r="F701" s="32"/>
      <c r="G701" s="3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3"/>
      <c r="B702" s="9"/>
      <c r="C702" s="3"/>
      <c r="D702" s="33"/>
      <c r="E702" s="32"/>
      <c r="F702" s="32"/>
      <c r="G702" s="3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3"/>
      <c r="B703" s="9"/>
      <c r="C703" s="3"/>
      <c r="D703" s="33"/>
      <c r="E703" s="32"/>
      <c r="F703" s="32"/>
      <c r="G703" s="3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3"/>
      <c r="B704" s="9"/>
      <c r="C704" s="3"/>
      <c r="D704" s="33"/>
      <c r="E704" s="32"/>
      <c r="F704" s="32"/>
      <c r="G704" s="3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3"/>
      <c r="B705" s="9"/>
      <c r="C705" s="3"/>
      <c r="D705" s="33"/>
      <c r="E705" s="32"/>
      <c r="F705" s="32"/>
      <c r="G705" s="3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3"/>
      <c r="B706" s="9"/>
      <c r="C706" s="3"/>
      <c r="D706" s="33"/>
      <c r="E706" s="32"/>
      <c r="F706" s="32"/>
      <c r="G706" s="3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3"/>
      <c r="B707" s="9"/>
      <c r="C707" s="3"/>
      <c r="D707" s="33"/>
      <c r="E707" s="32"/>
      <c r="F707" s="32"/>
      <c r="G707" s="3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3"/>
      <c r="B708" s="9"/>
      <c r="C708" s="3"/>
      <c r="D708" s="33"/>
      <c r="E708" s="32"/>
      <c r="F708" s="32"/>
      <c r="G708" s="3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3"/>
      <c r="B709" s="9"/>
      <c r="C709" s="3"/>
      <c r="D709" s="33"/>
      <c r="E709" s="32"/>
      <c r="F709" s="32"/>
      <c r="G709" s="3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3"/>
      <c r="B710" s="9"/>
      <c r="C710" s="3"/>
      <c r="D710" s="33"/>
      <c r="E710" s="32"/>
      <c r="F710" s="32"/>
      <c r="G710" s="3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3"/>
      <c r="B711" s="9"/>
      <c r="C711" s="3"/>
      <c r="D711" s="33"/>
      <c r="E711" s="32"/>
      <c r="F711" s="32"/>
      <c r="G711" s="3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3"/>
      <c r="B712" s="9"/>
      <c r="C712" s="3"/>
      <c r="D712" s="33"/>
      <c r="E712" s="32"/>
      <c r="F712" s="32"/>
      <c r="G712" s="3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3"/>
      <c r="B713" s="9"/>
      <c r="C713" s="3"/>
      <c r="D713" s="33"/>
      <c r="E713" s="32"/>
      <c r="F713" s="32"/>
      <c r="G713" s="3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3"/>
      <c r="B714" s="9"/>
      <c r="C714" s="3"/>
      <c r="D714" s="33"/>
      <c r="E714" s="32"/>
      <c r="F714" s="32"/>
      <c r="G714" s="3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3"/>
      <c r="B715" s="9"/>
      <c r="C715" s="3"/>
      <c r="D715" s="33"/>
      <c r="E715" s="32"/>
      <c r="F715" s="32"/>
      <c r="G715" s="3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3"/>
      <c r="B716" s="9"/>
      <c r="C716" s="3"/>
      <c r="D716" s="33"/>
      <c r="E716" s="32"/>
      <c r="F716" s="32"/>
      <c r="G716" s="3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3"/>
      <c r="B717" s="9"/>
      <c r="C717" s="3"/>
      <c r="D717" s="33"/>
      <c r="E717" s="32"/>
      <c r="F717" s="32"/>
      <c r="G717" s="3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3"/>
      <c r="B718" s="9"/>
      <c r="C718" s="3"/>
      <c r="D718" s="33"/>
      <c r="E718" s="32"/>
      <c r="F718" s="32"/>
      <c r="G718" s="3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3"/>
      <c r="B719" s="9"/>
      <c r="C719" s="3"/>
      <c r="D719" s="33"/>
      <c r="E719" s="32"/>
      <c r="F719" s="32"/>
      <c r="G719" s="3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3"/>
      <c r="B720" s="9"/>
      <c r="C720" s="3"/>
      <c r="D720" s="33"/>
      <c r="E720" s="32"/>
      <c r="F720" s="32"/>
      <c r="G720" s="3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3"/>
      <c r="B721" s="9"/>
      <c r="C721" s="3"/>
      <c r="D721" s="33"/>
      <c r="E721" s="32"/>
      <c r="F721" s="32"/>
      <c r="G721" s="3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3"/>
      <c r="B722" s="9"/>
      <c r="C722" s="3"/>
      <c r="D722" s="33"/>
      <c r="E722" s="32"/>
      <c r="F722" s="32"/>
      <c r="G722" s="3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3"/>
      <c r="B723" s="9"/>
      <c r="C723" s="3"/>
      <c r="D723" s="33"/>
      <c r="E723" s="32"/>
      <c r="F723" s="32"/>
      <c r="G723" s="3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3"/>
      <c r="B724" s="9"/>
      <c r="C724" s="3"/>
      <c r="D724" s="33"/>
      <c r="E724" s="32"/>
      <c r="F724" s="32"/>
      <c r="G724" s="3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3"/>
      <c r="B725" s="9"/>
      <c r="C725" s="3"/>
      <c r="D725" s="33"/>
      <c r="E725" s="32"/>
      <c r="F725" s="32"/>
      <c r="G725" s="3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3"/>
      <c r="B726" s="9"/>
      <c r="C726" s="3"/>
      <c r="D726" s="33"/>
      <c r="E726" s="32"/>
      <c r="F726" s="32"/>
      <c r="G726" s="3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3"/>
      <c r="B727" s="9"/>
      <c r="C727" s="3"/>
      <c r="D727" s="33"/>
      <c r="E727" s="32"/>
      <c r="F727" s="32"/>
      <c r="G727" s="3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3"/>
      <c r="B728" s="9"/>
      <c r="C728" s="3"/>
      <c r="D728" s="33"/>
      <c r="E728" s="32"/>
      <c r="F728" s="32"/>
      <c r="G728" s="3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3"/>
      <c r="B729" s="9"/>
      <c r="C729" s="3"/>
      <c r="D729" s="33"/>
      <c r="E729" s="32"/>
      <c r="F729" s="32"/>
      <c r="G729" s="3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3"/>
      <c r="B730" s="9"/>
      <c r="C730" s="3"/>
      <c r="D730" s="33"/>
      <c r="E730" s="32"/>
      <c r="F730" s="32"/>
      <c r="G730" s="3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3"/>
      <c r="B731" s="9"/>
      <c r="C731" s="3"/>
      <c r="D731" s="33"/>
      <c r="E731" s="32"/>
      <c r="F731" s="32"/>
      <c r="G731" s="3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3"/>
      <c r="B732" s="9"/>
      <c r="C732" s="3"/>
      <c r="D732" s="33"/>
      <c r="E732" s="32"/>
      <c r="F732" s="32"/>
      <c r="G732" s="3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3"/>
      <c r="B733" s="9"/>
      <c r="C733" s="3"/>
      <c r="D733" s="33"/>
      <c r="E733" s="32"/>
      <c r="F733" s="32"/>
      <c r="G733" s="3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3"/>
      <c r="B734" s="9"/>
      <c r="C734" s="3"/>
      <c r="D734" s="33"/>
      <c r="E734" s="32"/>
      <c r="F734" s="32"/>
      <c r="G734" s="3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3"/>
      <c r="B735" s="9"/>
      <c r="C735" s="3"/>
      <c r="D735" s="33"/>
      <c r="E735" s="32"/>
      <c r="F735" s="32"/>
      <c r="G735" s="3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3"/>
      <c r="B736" s="9"/>
      <c r="C736" s="3"/>
      <c r="D736" s="33"/>
      <c r="E736" s="32"/>
      <c r="F736" s="32"/>
      <c r="G736" s="3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3"/>
      <c r="B737" s="9"/>
      <c r="C737" s="3"/>
      <c r="D737" s="33"/>
      <c r="E737" s="32"/>
      <c r="F737" s="32"/>
      <c r="G737" s="3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3"/>
      <c r="B738" s="9"/>
      <c r="C738" s="3"/>
      <c r="D738" s="33"/>
      <c r="E738" s="32"/>
      <c r="F738" s="32"/>
      <c r="G738" s="3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3"/>
      <c r="B739" s="9"/>
      <c r="C739" s="3"/>
      <c r="D739" s="33"/>
      <c r="E739" s="32"/>
      <c r="F739" s="32"/>
      <c r="G739" s="3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3"/>
      <c r="B740" s="9"/>
      <c r="C740" s="3"/>
      <c r="D740" s="33"/>
      <c r="E740" s="32"/>
      <c r="F740" s="32"/>
      <c r="G740" s="3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3"/>
      <c r="B741" s="9"/>
      <c r="C741" s="3"/>
      <c r="D741" s="33"/>
      <c r="E741" s="32"/>
      <c r="F741" s="32"/>
      <c r="G741" s="3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3"/>
      <c r="B742" s="9"/>
      <c r="C742" s="3"/>
      <c r="D742" s="33"/>
      <c r="E742" s="32"/>
      <c r="F742" s="32"/>
      <c r="G742" s="3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3"/>
      <c r="B743" s="9"/>
      <c r="C743" s="3"/>
      <c r="D743" s="33"/>
      <c r="E743" s="32"/>
      <c r="F743" s="32"/>
      <c r="G743" s="3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3"/>
      <c r="B744" s="9"/>
      <c r="C744" s="3"/>
      <c r="D744" s="33"/>
      <c r="E744" s="32"/>
      <c r="F744" s="32"/>
      <c r="G744" s="3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3"/>
      <c r="B745" s="9"/>
      <c r="C745" s="3"/>
      <c r="D745" s="33"/>
      <c r="E745" s="32"/>
      <c r="F745" s="32"/>
      <c r="G745" s="3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3"/>
      <c r="B746" s="9"/>
      <c r="C746" s="3"/>
      <c r="D746" s="33"/>
      <c r="E746" s="32"/>
      <c r="F746" s="32"/>
      <c r="G746" s="3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3"/>
      <c r="B747" s="9"/>
      <c r="C747" s="3"/>
      <c r="D747" s="33"/>
      <c r="E747" s="32"/>
      <c r="F747" s="32"/>
      <c r="G747" s="3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3"/>
      <c r="B748" s="9"/>
      <c r="C748" s="3"/>
      <c r="D748" s="33"/>
      <c r="E748" s="32"/>
      <c r="F748" s="32"/>
      <c r="G748" s="3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3"/>
      <c r="B749" s="9"/>
      <c r="C749" s="3"/>
      <c r="D749" s="33"/>
      <c r="E749" s="32"/>
      <c r="F749" s="32"/>
      <c r="G749" s="3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3"/>
      <c r="B750" s="9"/>
      <c r="C750" s="3"/>
      <c r="D750" s="33"/>
      <c r="E750" s="32"/>
      <c r="F750" s="32"/>
      <c r="G750" s="3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3"/>
      <c r="B751" s="9"/>
      <c r="C751" s="3"/>
      <c r="D751" s="33"/>
      <c r="E751" s="32"/>
      <c r="F751" s="32"/>
      <c r="G751" s="3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3"/>
      <c r="B752" s="9"/>
      <c r="C752" s="3"/>
      <c r="D752" s="33"/>
      <c r="E752" s="32"/>
      <c r="F752" s="32"/>
      <c r="G752" s="3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3"/>
      <c r="B753" s="9"/>
      <c r="C753" s="3"/>
      <c r="D753" s="33"/>
      <c r="E753" s="32"/>
      <c r="F753" s="32"/>
      <c r="G753" s="3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3"/>
      <c r="B754" s="9"/>
      <c r="C754" s="3"/>
      <c r="D754" s="33"/>
      <c r="E754" s="32"/>
      <c r="F754" s="32"/>
      <c r="G754" s="3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3"/>
      <c r="B755" s="9"/>
      <c r="C755" s="3"/>
      <c r="D755" s="33"/>
      <c r="E755" s="32"/>
      <c r="F755" s="32"/>
      <c r="G755" s="3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3"/>
      <c r="B756" s="9"/>
      <c r="C756" s="3"/>
      <c r="D756" s="33"/>
      <c r="E756" s="32"/>
      <c r="F756" s="32"/>
      <c r="G756" s="3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3"/>
      <c r="B757" s="9"/>
      <c r="C757" s="3"/>
      <c r="D757" s="33"/>
      <c r="E757" s="32"/>
      <c r="F757" s="32"/>
      <c r="G757" s="3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3"/>
      <c r="B758" s="9"/>
      <c r="C758" s="3"/>
      <c r="D758" s="33"/>
      <c r="E758" s="32"/>
      <c r="F758" s="32"/>
      <c r="G758" s="3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3"/>
      <c r="B759" s="9"/>
      <c r="C759" s="3"/>
      <c r="D759" s="33"/>
      <c r="E759" s="32"/>
      <c r="F759" s="32"/>
      <c r="G759" s="3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3"/>
      <c r="B760" s="9"/>
      <c r="C760" s="3"/>
      <c r="D760" s="33"/>
      <c r="E760" s="32"/>
      <c r="F760" s="32"/>
      <c r="G760" s="3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3"/>
      <c r="B761" s="9"/>
      <c r="C761" s="3"/>
      <c r="D761" s="33"/>
      <c r="E761" s="32"/>
      <c r="F761" s="32"/>
      <c r="G761" s="3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3"/>
      <c r="B762" s="9"/>
      <c r="C762" s="3"/>
      <c r="D762" s="33"/>
      <c r="E762" s="32"/>
      <c r="F762" s="32"/>
      <c r="G762" s="3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3"/>
      <c r="B763" s="9"/>
      <c r="C763" s="3"/>
      <c r="D763" s="33"/>
      <c r="E763" s="32"/>
      <c r="F763" s="32"/>
      <c r="G763" s="3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3"/>
      <c r="B764" s="9"/>
      <c r="C764" s="3"/>
      <c r="D764" s="33"/>
      <c r="E764" s="32"/>
      <c r="F764" s="32"/>
      <c r="G764" s="3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3"/>
      <c r="B765" s="9"/>
      <c r="C765" s="3"/>
      <c r="D765" s="33"/>
      <c r="E765" s="32"/>
      <c r="F765" s="32"/>
      <c r="G765" s="3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3"/>
      <c r="B766" s="9"/>
      <c r="C766" s="3"/>
      <c r="D766" s="33"/>
      <c r="E766" s="32"/>
      <c r="F766" s="32"/>
      <c r="G766" s="3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3"/>
      <c r="B767" s="9"/>
      <c r="C767" s="3"/>
      <c r="D767" s="33"/>
      <c r="E767" s="32"/>
      <c r="F767" s="32"/>
      <c r="G767" s="3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3"/>
      <c r="B768" s="9"/>
      <c r="C768" s="3"/>
      <c r="D768" s="33"/>
      <c r="E768" s="32"/>
      <c r="F768" s="32"/>
      <c r="G768" s="3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3"/>
      <c r="B769" s="9"/>
      <c r="C769" s="3"/>
      <c r="D769" s="33"/>
      <c r="E769" s="32"/>
      <c r="F769" s="32"/>
      <c r="G769" s="3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3"/>
      <c r="B770" s="9"/>
      <c r="C770" s="3"/>
      <c r="D770" s="33"/>
      <c r="E770" s="32"/>
      <c r="F770" s="32"/>
      <c r="G770" s="3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3"/>
      <c r="B771" s="9"/>
      <c r="C771" s="3"/>
      <c r="D771" s="33"/>
      <c r="E771" s="32"/>
      <c r="F771" s="32"/>
      <c r="G771" s="3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3"/>
      <c r="B772" s="9"/>
      <c r="C772" s="3"/>
      <c r="D772" s="33"/>
      <c r="E772" s="32"/>
      <c r="F772" s="32"/>
      <c r="G772" s="3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3"/>
      <c r="B773" s="9"/>
      <c r="C773" s="3"/>
      <c r="D773" s="33"/>
      <c r="E773" s="32"/>
      <c r="F773" s="32"/>
      <c r="G773" s="3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3"/>
      <c r="B774" s="9"/>
      <c r="C774" s="3"/>
      <c r="D774" s="33"/>
      <c r="E774" s="32"/>
      <c r="F774" s="32"/>
      <c r="G774" s="3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3"/>
      <c r="B775" s="9"/>
      <c r="C775" s="3"/>
      <c r="D775" s="33"/>
      <c r="E775" s="32"/>
      <c r="F775" s="32"/>
      <c r="G775" s="3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3"/>
      <c r="B776" s="9"/>
      <c r="C776" s="3"/>
      <c r="D776" s="33"/>
      <c r="E776" s="32"/>
      <c r="F776" s="32"/>
      <c r="G776" s="3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3"/>
      <c r="B777" s="9"/>
      <c r="C777" s="3"/>
      <c r="D777" s="33"/>
      <c r="E777" s="32"/>
      <c r="F777" s="32"/>
      <c r="G777" s="3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3"/>
      <c r="B778" s="9"/>
      <c r="C778" s="3"/>
      <c r="D778" s="33"/>
      <c r="E778" s="32"/>
      <c r="F778" s="32"/>
      <c r="G778" s="3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3"/>
      <c r="B779" s="9"/>
      <c r="C779" s="3"/>
      <c r="D779" s="33"/>
      <c r="E779" s="32"/>
      <c r="F779" s="32"/>
      <c r="G779" s="3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3"/>
      <c r="B780" s="9"/>
      <c r="C780" s="3"/>
      <c r="D780" s="33"/>
      <c r="E780" s="32"/>
      <c r="F780" s="32"/>
      <c r="G780" s="3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3"/>
      <c r="B781" s="9"/>
      <c r="C781" s="3"/>
      <c r="D781" s="33"/>
      <c r="E781" s="32"/>
      <c r="F781" s="32"/>
      <c r="G781" s="3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3"/>
      <c r="B782" s="9"/>
      <c r="C782" s="3"/>
      <c r="D782" s="33"/>
      <c r="E782" s="32"/>
      <c r="F782" s="32"/>
      <c r="G782" s="3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3"/>
      <c r="B783" s="9"/>
      <c r="C783" s="3"/>
      <c r="D783" s="33"/>
      <c r="E783" s="32"/>
      <c r="F783" s="32"/>
      <c r="G783" s="3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3"/>
      <c r="B784" s="9"/>
      <c r="C784" s="3"/>
      <c r="D784" s="33"/>
      <c r="E784" s="32"/>
      <c r="F784" s="32"/>
      <c r="G784" s="3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3"/>
      <c r="B785" s="9"/>
      <c r="C785" s="3"/>
      <c r="D785" s="33"/>
      <c r="E785" s="32"/>
      <c r="F785" s="32"/>
      <c r="G785" s="3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3"/>
      <c r="B786" s="9"/>
      <c r="C786" s="3"/>
      <c r="D786" s="33"/>
      <c r="E786" s="32"/>
      <c r="F786" s="32"/>
      <c r="G786" s="3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3"/>
      <c r="B787" s="9"/>
      <c r="C787" s="3"/>
      <c r="D787" s="33"/>
      <c r="E787" s="32"/>
      <c r="F787" s="32"/>
      <c r="G787" s="3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3"/>
      <c r="B788" s="9"/>
      <c r="C788" s="3"/>
      <c r="D788" s="33"/>
      <c r="E788" s="32"/>
      <c r="F788" s="32"/>
      <c r="G788" s="3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3"/>
      <c r="B789" s="9"/>
      <c r="C789" s="3"/>
      <c r="D789" s="33"/>
      <c r="E789" s="32"/>
      <c r="F789" s="32"/>
      <c r="G789" s="3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3"/>
      <c r="B790" s="9"/>
      <c r="C790" s="3"/>
      <c r="D790" s="33"/>
      <c r="E790" s="32"/>
      <c r="F790" s="32"/>
      <c r="G790" s="3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3"/>
      <c r="B791" s="9"/>
      <c r="C791" s="3"/>
      <c r="D791" s="33"/>
      <c r="E791" s="32"/>
      <c r="F791" s="32"/>
      <c r="G791" s="3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3"/>
      <c r="B792" s="9"/>
      <c r="C792" s="3"/>
      <c r="D792" s="33"/>
      <c r="E792" s="32"/>
      <c r="F792" s="32"/>
      <c r="G792" s="3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3"/>
      <c r="B793" s="9"/>
      <c r="C793" s="3"/>
      <c r="D793" s="33"/>
      <c r="E793" s="32"/>
      <c r="F793" s="32"/>
      <c r="G793" s="3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3"/>
      <c r="B794" s="9"/>
      <c r="C794" s="3"/>
      <c r="D794" s="33"/>
      <c r="E794" s="32"/>
      <c r="F794" s="32"/>
      <c r="G794" s="3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3"/>
      <c r="B795" s="9"/>
      <c r="C795" s="3"/>
      <c r="D795" s="33"/>
      <c r="E795" s="32"/>
      <c r="F795" s="32"/>
      <c r="G795" s="3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3"/>
      <c r="B796" s="9"/>
      <c r="C796" s="3"/>
      <c r="D796" s="33"/>
      <c r="E796" s="32"/>
      <c r="F796" s="32"/>
      <c r="G796" s="3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3"/>
      <c r="B797" s="9"/>
      <c r="C797" s="3"/>
      <c r="D797" s="33"/>
      <c r="E797" s="32"/>
      <c r="F797" s="32"/>
      <c r="G797" s="3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3"/>
      <c r="B798" s="9"/>
      <c r="C798" s="3"/>
      <c r="D798" s="33"/>
      <c r="E798" s="32"/>
      <c r="F798" s="32"/>
      <c r="G798" s="3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3"/>
      <c r="B799" s="9"/>
      <c r="C799" s="3"/>
      <c r="D799" s="33"/>
      <c r="E799" s="32"/>
      <c r="F799" s="32"/>
      <c r="G799" s="3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3"/>
      <c r="B800" s="9"/>
      <c r="C800" s="3"/>
      <c r="D800" s="33"/>
      <c r="E800" s="32"/>
      <c r="F800" s="32"/>
      <c r="G800" s="3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3"/>
      <c r="B801" s="9"/>
      <c r="C801" s="3"/>
      <c r="D801" s="33"/>
      <c r="E801" s="32"/>
      <c r="F801" s="32"/>
      <c r="G801" s="3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3"/>
      <c r="B802" s="9"/>
      <c r="C802" s="3"/>
      <c r="D802" s="33"/>
      <c r="E802" s="32"/>
      <c r="F802" s="32"/>
      <c r="G802" s="3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3"/>
      <c r="B803" s="9"/>
      <c r="C803" s="3"/>
      <c r="D803" s="33"/>
      <c r="E803" s="32"/>
      <c r="F803" s="32"/>
      <c r="G803" s="3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3"/>
      <c r="B804" s="9"/>
      <c r="C804" s="3"/>
      <c r="D804" s="33"/>
      <c r="E804" s="32"/>
      <c r="F804" s="32"/>
      <c r="G804" s="3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3"/>
      <c r="B805" s="9"/>
      <c r="C805" s="3"/>
      <c r="D805" s="33"/>
      <c r="E805" s="32"/>
      <c r="F805" s="32"/>
      <c r="G805" s="3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3"/>
      <c r="B806" s="9"/>
      <c r="C806" s="3"/>
      <c r="D806" s="33"/>
      <c r="E806" s="32"/>
      <c r="F806" s="32"/>
      <c r="G806" s="3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3"/>
      <c r="B807" s="9"/>
      <c r="C807" s="3"/>
      <c r="D807" s="33"/>
      <c r="E807" s="32"/>
      <c r="F807" s="32"/>
      <c r="G807" s="3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3"/>
      <c r="B808" s="9"/>
      <c r="C808" s="3"/>
      <c r="D808" s="33"/>
      <c r="E808" s="32"/>
      <c r="F808" s="32"/>
      <c r="G808" s="3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3"/>
      <c r="B809" s="9"/>
      <c r="C809" s="3"/>
      <c r="D809" s="33"/>
      <c r="E809" s="32"/>
      <c r="F809" s="32"/>
      <c r="G809" s="3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3"/>
      <c r="B810" s="9"/>
      <c r="C810" s="3"/>
      <c r="D810" s="33"/>
      <c r="E810" s="32"/>
      <c r="F810" s="32"/>
      <c r="G810" s="3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3"/>
      <c r="B811" s="9"/>
      <c r="C811" s="3"/>
      <c r="D811" s="33"/>
      <c r="E811" s="32"/>
      <c r="F811" s="32"/>
      <c r="G811" s="3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3"/>
      <c r="B812" s="9"/>
      <c r="C812" s="3"/>
      <c r="D812" s="33"/>
      <c r="E812" s="32"/>
      <c r="F812" s="32"/>
      <c r="G812" s="3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3"/>
      <c r="B813" s="9"/>
      <c r="C813" s="3"/>
      <c r="D813" s="33"/>
      <c r="E813" s="32"/>
      <c r="F813" s="32"/>
      <c r="G813" s="3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3"/>
      <c r="B814" s="9"/>
      <c r="C814" s="3"/>
      <c r="D814" s="33"/>
      <c r="E814" s="32"/>
      <c r="F814" s="32"/>
      <c r="G814" s="3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3"/>
      <c r="B815" s="9"/>
      <c r="C815" s="3"/>
      <c r="D815" s="33"/>
      <c r="E815" s="32"/>
      <c r="F815" s="32"/>
      <c r="G815" s="3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3"/>
      <c r="B816" s="9"/>
      <c r="C816" s="3"/>
      <c r="D816" s="33"/>
      <c r="E816" s="32"/>
      <c r="F816" s="32"/>
      <c r="G816" s="3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3"/>
      <c r="B817" s="9"/>
      <c r="C817" s="3"/>
      <c r="D817" s="33"/>
      <c r="E817" s="32"/>
      <c r="F817" s="32"/>
      <c r="G817" s="3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3"/>
      <c r="B818" s="9"/>
      <c r="C818" s="3"/>
      <c r="D818" s="33"/>
      <c r="E818" s="32"/>
      <c r="F818" s="32"/>
      <c r="G818" s="3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3"/>
      <c r="B819" s="9"/>
      <c r="C819" s="3"/>
      <c r="D819" s="33"/>
      <c r="E819" s="32"/>
      <c r="F819" s="32"/>
      <c r="G819" s="3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3"/>
      <c r="B820" s="9"/>
      <c r="C820" s="3"/>
      <c r="D820" s="33"/>
      <c r="E820" s="32"/>
      <c r="F820" s="32"/>
      <c r="G820" s="3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3"/>
      <c r="B821" s="9"/>
      <c r="C821" s="3"/>
      <c r="D821" s="33"/>
      <c r="E821" s="32"/>
      <c r="F821" s="32"/>
      <c r="G821" s="3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3"/>
      <c r="B822" s="9"/>
      <c r="C822" s="3"/>
      <c r="D822" s="33"/>
      <c r="E822" s="32"/>
      <c r="F822" s="32"/>
      <c r="G822" s="3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3"/>
      <c r="B823" s="9"/>
      <c r="C823" s="3"/>
      <c r="D823" s="33"/>
      <c r="E823" s="32"/>
      <c r="F823" s="32"/>
      <c r="G823" s="3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3"/>
      <c r="B824" s="9"/>
      <c r="C824" s="3"/>
      <c r="D824" s="33"/>
      <c r="E824" s="32"/>
      <c r="F824" s="32"/>
      <c r="G824" s="3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3"/>
      <c r="B825" s="9"/>
      <c r="C825" s="3"/>
      <c r="D825" s="33"/>
      <c r="E825" s="32"/>
      <c r="F825" s="32"/>
      <c r="G825" s="3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3"/>
      <c r="B826" s="9"/>
      <c r="C826" s="3"/>
      <c r="D826" s="33"/>
      <c r="E826" s="32"/>
      <c r="F826" s="32"/>
      <c r="G826" s="3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3"/>
      <c r="B827" s="9"/>
      <c r="C827" s="3"/>
      <c r="D827" s="33"/>
      <c r="E827" s="32"/>
      <c r="F827" s="32"/>
      <c r="G827" s="3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3"/>
      <c r="B828" s="9"/>
      <c r="C828" s="3"/>
      <c r="D828" s="33"/>
      <c r="E828" s="32"/>
      <c r="F828" s="32"/>
      <c r="G828" s="3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3"/>
      <c r="B829" s="9"/>
      <c r="C829" s="3"/>
      <c r="D829" s="33"/>
      <c r="E829" s="32"/>
      <c r="F829" s="32"/>
      <c r="G829" s="3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3"/>
      <c r="B830" s="9"/>
      <c r="C830" s="3"/>
      <c r="D830" s="33"/>
      <c r="E830" s="32"/>
      <c r="F830" s="32"/>
      <c r="G830" s="3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3"/>
      <c r="B831" s="9"/>
      <c r="C831" s="3"/>
      <c r="D831" s="33"/>
      <c r="E831" s="32"/>
      <c r="F831" s="32"/>
      <c r="G831" s="3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3"/>
      <c r="B832" s="9"/>
      <c r="C832" s="3"/>
      <c r="D832" s="33"/>
      <c r="E832" s="32"/>
      <c r="F832" s="32"/>
      <c r="G832" s="3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3"/>
      <c r="B833" s="9"/>
      <c r="C833" s="3"/>
      <c r="D833" s="33"/>
      <c r="E833" s="32"/>
      <c r="F833" s="32"/>
      <c r="G833" s="3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3"/>
      <c r="B834" s="9"/>
      <c r="C834" s="3"/>
      <c r="D834" s="33"/>
      <c r="E834" s="32"/>
      <c r="F834" s="32"/>
      <c r="G834" s="3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3"/>
      <c r="B835" s="9"/>
      <c r="C835" s="3"/>
      <c r="D835" s="33"/>
      <c r="E835" s="32"/>
      <c r="F835" s="32"/>
      <c r="G835" s="3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3"/>
      <c r="B836" s="9"/>
      <c r="C836" s="3"/>
      <c r="D836" s="33"/>
      <c r="E836" s="32"/>
      <c r="F836" s="32"/>
      <c r="G836" s="3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3"/>
      <c r="B837" s="9"/>
      <c r="C837" s="3"/>
      <c r="D837" s="33"/>
      <c r="E837" s="32"/>
      <c r="F837" s="32"/>
      <c r="G837" s="3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3"/>
      <c r="B838" s="9"/>
      <c r="C838" s="3"/>
      <c r="D838" s="33"/>
      <c r="E838" s="32"/>
      <c r="F838" s="32"/>
      <c r="G838" s="3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3"/>
      <c r="B839" s="9"/>
      <c r="C839" s="3"/>
      <c r="D839" s="33"/>
      <c r="E839" s="32"/>
      <c r="F839" s="32"/>
      <c r="G839" s="3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3"/>
      <c r="B840" s="9"/>
      <c r="C840" s="3"/>
      <c r="D840" s="33"/>
      <c r="E840" s="32"/>
      <c r="F840" s="32"/>
      <c r="G840" s="3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3"/>
      <c r="B841" s="9"/>
      <c r="C841" s="3"/>
      <c r="D841" s="33"/>
      <c r="E841" s="32"/>
      <c r="F841" s="32"/>
      <c r="G841" s="3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3"/>
      <c r="B842" s="9"/>
      <c r="C842" s="3"/>
      <c r="D842" s="33"/>
      <c r="E842" s="32"/>
      <c r="F842" s="32"/>
      <c r="G842" s="3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3"/>
      <c r="B843" s="9"/>
      <c r="C843" s="3"/>
      <c r="D843" s="33"/>
      <c r="E843" s="32"/>
      <c r="F843" s="32"/>
      <c r="G843" s="3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3"/>
      <c r="B844" s="9"/>
      <c r="C844" s="3"/>
      <c r="D844" s="33"/>
      <c r="E844" s="32"/>
      <c r="F844" s="32"/>
      <c r="G844" s="3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3"/>
      <c r="B845" s="9"/>
      <c r="C845" s="3"/>
      <c r="D845" s="33"/>
      <c r="E845" s="32"/>
      <c r="F845" s="32"/>
      <c r="G845" s="3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3"/>
      <c r="B846" s="9"/>
      <c r="C846" s="3"/>
      <c r="D846" s="33"/>
      <c r="E846" s="32"/>
      <c r="F846" s="32"/>
      <c r="G846" s="3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3"/>
      <c r="B847" s="9"/>
      <c r="C847" s="3"/>
      <c r="D847" s="33"/>
      <c r="E847" s="32"/>
      <c r="F847" s="32"/>
      <c r="G847" s="3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3"/>
      <c r="B848" s="9"/>
      <c r="C848" s="3"/>
      <c r="D848" s="33"/>
      <c r="E848" s="32"/>
      <c r="F848" s="32"/>
      <c r="G848" s="3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3"/>
      <c r="B849" s="9"/>
      <c r="C849" s="3"/>
      <c r="D849" s="33"/>
      <c r="E849" s="32"/>
      <c r="F849" s="32"/>
      <c r="G849" s="3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3"/>
      <c r="B850" s="9"/>
      <c r="C850" s="3"/>
      <c r="D850" s="33"/>
      <c r="E850" s="32"/>
      <c r="F850" s="32"/>
      <c r="G850" s="3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3"/>
      <c r="B851" s="9"/>
      <c r="C851" s="3"/>
      <c r="D851" s="33"/>
      <c r="E851" s="32"/>
      <c r="F851" s="32"/>
      <c r="G851" s="3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3"/>
      <c r="B852" s="9"/>
      <c r="C852" s="3"/>
      <c r="D852" s="33"/>
      <c r="E852" s="32"/>
      <c r="F852" s="32"/>
      <c r="G852" s="3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3"/>
      <c r="B853" s="9"/>
      <c r="C853" s="3"/>
      <c r="D853" s="33"/>
      <c r="E853" s="32"/>
      <c r="F853" s="32"/>
      <c r="G853" s="3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3"/>
      <c r="B854" s="9"/>
      <c r="C854" s="3"/>
      <c r="D854" s="33"/>
      <c r="E854" s="32"/>
      <c r="F854" s="32"/>
      <c r="G854" s="3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3"/>
      <c r="B855" s="9"/>
      <c r="C855" s="3"/>
      <c r="D855" s="33"/>
      <c r="E855" s="32"/>
      <c r="F855" s="32"/>
      <c r="G855" s="3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3"/>
      <c r="B856" s="9"/>
      <c r="C856" s="3"/>
      <c r="D856" s="33"/>
      <c r="E856" s="32"/>
      <c r="F856" s="32"/>
      <c r="G856" s="3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3"/>
      <c r="B857" s="9"/>
      <c r="C857" s="3"/>
      <c r="D857" s="33"/>
      <c r="E857" s="32"/>
      <c r="F857" s="32"/>
      <c r="G857" s="3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3"/>
      <c r="B858" s="9"/>
      <c r="C858" s="3"/>
      <c r="D858" s="33"/>
      <c r="E858" s="32"/>
      <c r="F858" s="32"/>
      <c r="G858" s="3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3"/>
      <c r="B859" s="9"/>
      <c r="C859" s="3"/>
      <c r="D859" s="33"/>
      <c r="E859" s="32"/>
      <c r="F859" s="32"/>
      <c r="G859" s="3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3"/>
      <c r="B860" s="9"/>
      <c r="C860" s="3"/>
      <c r="D860" s="33"/>
      <c r="E860" s="32"/>
      <c r="F860" s="32"/>
      <c r="G860" s="3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3"/>
      <c r="B861" s="9"/>
      <c r="C861" s="3"/>
      <c r="D861" s="33"/>
      <c r="E861" s="32"/>
      <c r="F861" s="32"/>
      <c r="G861" s="3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3"/>
      <c r="B862" s="9"/>
      <c r="C862" s="3"/>
      <c r="D862" s="33"/>
      <c r="E862" s="32"/>
      <c r="F862" s="32"/>
      <c r="G862" s="3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3"/>
      <c r="B863" s="9"/>
      <c r="C863" s="3"/>
      <c r="D863" s="33"/>
      <c r="E863" s="32"/>
      <c r="F863" s="32"/>
      <c r="G863" s="3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3"/>
      <c r="B864" s="9"/>
      <c r="C864" s="3"/>
      <c r="D864" s="33"/>
      <c r="E864" s="32"/>
      <c r="F864" s="32"/>
      <c r="G864" s="3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3"/>
      <c r="B865" s="9"/>
      <c r="C865" s="3"/>
      <c r="D865" s="33"/>
      <c r="E865" s="32"/>
      <c r="F865" s="32"/>
      <c r="G865" s="3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3"/>
      <c r="B866" s="9"/>
      <c r="C866" s="3"/>
      <c r="D866" s="33"/>
      <c r="E866" s="32"/>
      <c r="F866" s="32"/>
      <c r="G866" s="3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3"/>
      <c r="B867" s="9"/>
      <c r="C867" s="3"/>
      <c r="D867" s="33"/>
      <c r="E867" s="32"/>
      <c r="F867" s="32"/>
      <c r="G867" s="3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3"/>
      <c r="B868" s="9"/>
      <c r="C868" s="3"/>
      <c r="D868" s="33"/>
      <c r="E868" s="32"/>
      <c r="F868" s="32"/>
      <c r="G868" s="3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3"/>
      <c r="B869" s="9"/>
      <c r="C869" s="3"/>
      <c r="D869" s="33"/>
      <c r="E869" s="32"/>
      <c r="F869" s="32"/>
      <c r="G869" s="3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3"/>
      <c r="B870" s="9"/>
      <c r="C870" s="3"/>
      <c r="D870" s="33"/>
      <c r="E870" s="32"/>
      <c r="F870" s="32"/>
      <c r="G870" s="3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3"/>
      <c r="B871" s="9"/>
      <c r="C871" s="3"/>
      <c r="D871" s="33"/>
      <c r="E871" s="32"/>
      <c r="F871" s="32"/>
      <c r="G871" s="3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3"/>
      <c r="B872" s="9"/>
      <c r="C872" s="3"/>
      <c r="D872" s="33"/>
      <c r="E872" s="32"/>
      <c r="F872" s="32"/>
      <c r="G872" s="3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3"/>
      <c r="B873" s="9"/>
      <c r="C873" s="3"/>
      <c r="D873" s="33"/>
      <c r="E873" s="32"/>
      <c r="F873" s="32"/>
      <c r="G873" s="3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3"/>
      <c r="B874" s="9"/>
      <c r="C874" s="3"/>
      <c r="D874" s="33"/>
      <c r="E874" s="32"/>
      <c r="F874" s="32"/>
      <c r="G874" s="3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3"/>
      <c r="B875" s="9"/>
      <c r="C875" s="3"/>
      <c r="D875" s="33"/>
      <c r="E875" s="32"/>
      <c r="F875" s="32"/>
      <c r="G875" s="3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3"/>
      <c r="B876" s="9"/>
      <c r="C876" s="3"/>
      <c r="D876" s="33"/>
      <c r="E876" s="32"/>
      <c r="F876" s="32"/>
      <c r="G876" s="3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3"/>
      <c r="B877" s="9"/>
      <c r="C877" s="3"/>
      <c r="D877" s="33"/>
      <c r="E877" s="32"/>
      <c r="F877" s="32"/>
      <c r="G877" s="3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3"/>
      <c r="B878" s="9"/>
      <c r="C878" s="3"/>
      <c r="D878" s="33"/>
      <c r="E878" s="32"/>
      <c r="F878" s="32"/>
      <c r="G878" s="3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3"/>
      <c r="B879" s="9"/>
      <c r="C879" s="3"/>
      <c r="D879" s="33"/>
      <c r="E879" s="32"/>
      <c r="F879" s="32"/>
      <c r="G879" s="3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3"/>
      <c r="B880" s="9"/>
      <c r="C880" s="3"/>
      <c r="D880" s="33"/>
      <c r="E880" s="32"/>
      <c r="F880" s="32"/>
      <c r="G880" s="3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3"/>
      <c r="B881" s="9"/>
      <c r="C881" s="3"/>
      <c r="D881" s="33"/>
      <c r="E881" s="32"/>
      <c r="F881" s="32"/>
      <c r="G881" s="3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3"/>
      <c r="B882" s="9"/>
      <c r="C882" s="3"/>
      <c r="D882" s="33"/>
      <c r="E882" s="32"/>
      <c r="F882" s="32"/>
      <c r="G882" s="3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3"/>
      <c r="B883" s="9"/>
      <c r="C883" s="3"/>
      <c r="D883" s="33"/>
      <c r="E883" s="32"/>
      <c r="F883" s="32"/>
      <c r="G883" s="3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3"/>
      <c r="B884" s="9"/>
      <c r="C884" s="3"/>
      <c r="D884" s="33"/>
      <c r="E884" s="32"/>
      <c r="F884" s="32"/>
      <c r="G884" s="3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3"/>
      <c r="B885" s="9"/>
      <c r="C885" s="3"/>
      <c r="D885" s="33"/>
      <c r="E885" s="32"/>
      <c r="F885" s="32"/>
      <c r="G885" s="3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3"/>
      <c r="B886" s="9"/>
      <c r="C886" s="3"/>
      <c r="D886" s="33"/>
      <c r="E886" s="32"/>
      <c r="F886" s="32"/>
      <c r="G886" s="3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3"/>
      <c r="B887" s="9"/>
      <c r="C887" s="3"/>
      <c r="D887" s="33"/>
      <c r="E887" s="32"/>
      <c r="F887" s="32"/>
      <c r="G887" s="3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3"/>
      <c r="B888" s="9"/>
      <c r="C888" s="3"/>
      <c r="D888" s="33"/>
      <c r="E888" s="32"/>
      <c r="F888" s="32"/>
      <c r="G888" s="3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3"/>
      <c r="B889" s="9"/>
      <c r="C889" s="3"/>
      <c r="D889" s="33"/>
      <c r="E889" s="32"/>
      <c r="F889" s="32"/>
      <c r="G889" s="3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3"/>
      <c r="B890" s="9"/>
      <c r="C890" s="3"/>
      <c r="D890" s="33"/>
      <c r="E890" s="32"/>
      <c r="F890" s="32"/>
      <c r="G890" s="3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3"/>
      <c r="B891" s="9"/>
      <c r="C891" s="3"/>
      <c r="D891" s="33"/>
      <c r="E891" s="32"/>
      <c r="F891" s="32"/>
      <c r="G891" s="3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3"/>
      <c r="B892" s="9"/>
      <c r="C892" s="3"/>
      <c r="D892" s="33"/>
      <c r="E892" s="32"/>
      <c r="F892" s="32"/>
      <c r="G892" s="3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3"/>
      <c r="B893" s="9"/>
      <c r="C893" s="3"/>
      <c r="D893" s="33"/>
      <c r="E893" s="32"/>
      <c r="F893" s="32"/>
      <c r="G893" s="3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3"/>
      <c r="B894" s="9"/>
      <c r="C894" s="3"/>
      <c r="D894" s="33"/>
      <c r="E894" s="32"/>
      <c r="F894" s="32"/>
      <c r="G894" s="3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3"/>
      <c r="B895" s="9"/>
      <c r="C895" s="3"/>
      <c r="D895" s="33"/>
      <c r="E895" s="32"/>
      <c r="F895" s="32"/>
      <c r="G895" s="3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3"/>
      <c r="B896" s="9"/>
      <c r="C896" s="3"/>
      <c r="D896" s="33"/>
      <c r="E896" s="32"/>
      <c r="F896" s="32"/>
      <c r="G896" s="3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3"/>
      <c r="B897" s="9"/>
      <c r="C897" s="3"/>
      <c r="D897" s="33"/>
      <c r="E897" s="32"/>
      <c r="F897" s="32"/>
      <c r="G897" s="3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3"/>
      <c r="B898" s="9"/>
      <c r="C898" s="3"/>
      <c r="D898" s="33"/>
      <c r="E898" s="32"/>
      <c r="F898" s="32"/>
      <c r="G898" s="3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3"/>
      <c r="B899" s="9"/>
      <c r="C899" s="3"/>
      <c r="D899" s="33"/>
      <c r="E899" s="32"/>
      <c r="F899" s="32"/>
      <c r="G899" s="3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3"/>
      <c r="B900" s="9"/>
      <c r="C900" s="3"/>
      <c r="D900" s="33"/>
      <c r="E900" s="32"/>
      <c r="F900" s="32"/>
      <c r="G900" s="3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3"/>
      <c r="B901" s="9"/>
      <c r="C901" s="3"/>
      <c r="D901" s="33"/>
      <c r="E901" s="32"/>
      <c r="F901" s="32"/>
      <c r="G901" s="3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3"/>
      <c r="B902" s="9"/>
      <c r="C902" s="3"/>
      <c r="D902" s="33"/>
      <c r="E902" s="32"/>
      <c r="F902" s="32"/>
      <c r="G902" s="3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3"/>
      <c r="B903" s="9"/>
      <c r="C903" s="3"/>
      <c r="D903" s="33"/>
      <c r="E903" s="32"/>
      <c r="F903" s="32"/>
      <c r="G903" s="3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3"/>
      <c r="B904" s="9"/>
      <c r="C904" s="3"/>
      <c r="D904" s="33"/>
      <c r="E904" s="32"/>
      <c r="F904" s="32"/>
      <c r="G904" s="3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3"/>
      <c r="B905" s="9"/>
      <c r="C905" s="3"/>
      <c r="D905" s="33"/>
      <c r="E905" s="32"/>
      <c r="F905" s="32"/>
      <c r="G905" s="3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3"/>
      <c r="B906" s="9"/>
      <c r="C906" s="3"/>
      <c r="D906" s="33"/>
      <c r="E906" s="32"/>
      <c r="F906" s="32"/>
      <c r="G906" s="3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3"/>
      <c r="B907" s="9"/>
      <c r="C907" s="3"/>
      <c r="D907" s="33"/>
      <c r="E907" s="32"/>
      <c r="F907" s="32"/>
      <c r="G907" s="3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3"/>
      <c r="B908" s="9"/>
      <c r="C908" s="3"/>
      <c r="D908" s="33"/>
      <c r="E908" s="32"/>
      <c r="F908" s="32"/>
      <c r="G908" s="3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3"/>
      <c r="B909" s="9"/>
      <c r="C909" s="3"/>
      <c r="D909" s="33"/>
      <c r="E909" s="32"/>
      <c r="F909" s="32"/>
      <c r="G909" s="3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3"/>
      <c r="B910" s="9"/>
      <c r="C910" s="3"/>
      <c r="D910" s="33"/>
      <c r="E910" s="32"/>
      <c r="F910" s="32"/>
      <c r="G910" s="3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3"/>
      <c r="B911" s="9"/>
      <c r="C911" s="3"/>
      <c r="D911" s="33"/>
      <c r="E911" s="32"/>
      <c r="F911" s="32"/>
      <c r="G911" s="3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3"/>
      <c r="B912" s="9"/>
      <c r="C912" s="3"/>
      <c r="D912" s="33"/>
      <c r="E912" s="32"/>
      <c r="F912" s="32"/>
      <c r="G912" s="3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3"/>
      <c r="B913" s="9"/>
      <c r="C913" s="3"/>
      <c r="D913" s="33"/>
      <c r="E913" s="32"/>
      <c r="F913" s="32"/>
      <c r="G913" s="3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3"/>
      <c r="B914" s="9"/>
      <c r="C914" s="3"/>
      <c r="D914" s="33"/>
      <c r="E914" s="32"/>
      <c r="F914" s="32"/>
      <c r="G914" s="3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3"/>
      <c r="B915" s="9"/>
      <c r="C915" s="3"/>
      <c r="D915" s="33"/>
      <c r="E915" s="32"/>
      <c r="F915" s="32"/>
      <c r="G915" s="3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3"/>
      <c r="B916" s="9"/>
      <c r="C916" s="3"/>
      <c r="D916" s="33"/>
      <c r="E916" s="32"/>
      <c r="F916" s="32"/>
      <c r="G916" s="3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3"/>
      <c r="B917" s="9"/>
      <c r="C917" s="3"/>
      <c r="D917" s="33"/>
      <c r="E917" s="32"/>
      <c r="F917" s="32"/>
      <c r="G917" s="3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3"/>
      <c r="B918" s="9"/>
      <c r="C918" s="3"/>
      <c r="D918" s="33"/>
      <c r="E918" s="32"/>
      <c r="F918" s="32"/>
      <c r="G918" s="3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3"/>
      <c r="B919" s="9"/>
      <c r="C919" s="3"/>
      <c r="D919" s="33"/>
      <c r="E919" s="32"/>
      <c r="F919" s="32"/>
      <c r="G919" s="3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3"/>
      <c r="B920" s="9"/>
      <c r="C920" s="3"/>
      <c r="D920" s="33"/>
      <c r="E920" s="32"/>
      <c r="F920" s="32"/>
      <c r="G920" s="3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3"/>
      <c r="B921" s="9"/>
      <c r="C921" s="3"/>
      <c r="D921" s="33"/>
      <c r="E921" s="32"/>
      <c r="F921" s="32"/>
      <c r="G921" s="3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3"/>
      <c r="B922" s="9"/>
      <c r="C922" s="3"/>
      <c r="D922" s="33"/>
      <c r="E922" s="32"/>
      <c r="F922" s="32"/>
      <c r="G922" s="3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3"/>
      <c r="B923" s="9"/>
      <c r="C923" s="3"/>
      <c r="D923" s="33"/>
      <c r="E923" s="32"/>
      <c r="F923" s="32"/>
      <c r="G923" s="3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3"/>
      <c r="B924" s="9"/>
      <c r="C924" s="3"/>
      <c r="D924" s="33"/>
      <c r="E924" s="32"/>
      <c r="F924" s="32"/>
      <c r="G924" s="3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3"/>
      <c r="B925" s="9"/>
      <c r="C925" s="3"/>
      <c r="D925" s="33"/>
      <c r="E925" s="32"/>
      <c r="F925" s="32"/>
      <c r="G925" s="3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3"/>
      <c r="B926" s="9"/>
      <c r="C926" s="3"/>
      <c r="D926" s="33"/>
      <c r="E926" s="32"/>
      <c r="F926" s="32"/>
      <c r="G926" s="3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3"/>
      <c r="B927" s="9"/>
      <c r="C927" s="3"/>
      <c r="D927" s="33"/>
      <c r="E927" s="32"/>
      <c r="F927" s="32"/>
      <c r="G927" s="3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3"/>
      <c r="B928" s="9"/>
      <c r="C928" s="3"/>
      <c r="D928" s="33"/>
      <c r="E928" s="32"/>
      <c r="F928" s="32"/>
      <c r="G928" s="3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3"/>
      <c r="B929" s="9"/>
      <c r="C929" s="3"/>
      <c r="D929" s="33"/>
      <c r="E929" s="32"/>
      <c r="F929" s="32"/>
      <c r="G929" s="3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3"/>
      <c r="B930" s="9"/>
      <c r="C930" s="3"/>
      <c r="D930" s="33"/>
      <c r="E930" s="32"/>
      <c r="F930" s="32"/>
      <c r="G930" s="3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3"/>
      <c r="B931" s="9"/>
      <c r="C931" s="3"/>
      <c r="D931" s="33"/>
      <c r="E931" s="32"/>
      <c r="F931" s="32"/>
      <c r="G931" s="3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3"/>
      <c r="B932" s="9"/>
      <c r="C932" s="3"/>
      <c r="D932" s="33"/>
      <c r="E932" s="32"/>
      <c r="F932" s="32"/>
      <c r="G932" s="3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3"/>
      <c r="B933" s="9"/>
      <c r="C933" s="3"/>
      <c r="D933" s="33"/>
      <c r="E933" s="32"/>
      <c r="F933" s="32"/>
      <c r="G933" s="3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3"/>
      <c r="B934" s="9"/>
      <c r="C934" s="3"/>
      <c r="D934" s="33"/>
      <c r="E934" s="32"/>
      <c r="F934" s="32"/>
      <c r="G934" s="3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3"/>
      <c r="B935" s="9"/>
      <c r="C935" s="3"/>
      <c r="D935" s="33"/>
      <c r="E935" s="32"/>
      <c r="F935" s="32"/>
      <c r="G935" s="3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3"/>
      <c r="B936" s="9"/>
      <c r="C936" s="3"/>
      <c r="D936" s="33"/>
      <c r="E936" s="32"/>
      <c r="F936" s="32"/>
      <c r="G936" s="3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3"/>
      <c r="B937" s="9"/>
      <c r="C937" s="3"/>
      <c r="D937" s="33"/>
      <c r="E937" s="32"/>
      <c r="F937" s="32"/>
      <c r="G937" s="3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3"/>
      <c r="B938" s="9"/>
      <c r="C938" s="3"/>
      <c r="D938" s="33"/>
      <c r="E938" s="32"/>
      <c r="F938" s="32"/>
      <c r="G938" s="3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3"/>
      <c r="B939" s="9"/>
      <c r="C939" s="3"/>
      <c r="D939" s="33"/>
      <c r="E939" s="32"/>
      <c r="F939" s="32"/>
      <c r="G939" s="3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3"/>
      <c r="B940" s="9"/>
      <c r="C940" s="3"/>
      <c r="D940" s="33"/>
      <c r="E940" s="32"/>
      <c r="F940" s="32"/>
      <c r="G940" s="3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3"/>
      <c r="B941" s="9"/>
      <c r="C941" s="3"/>
      <c r="D941" s="33"/>
      <c r="E941" s="32"/>
      <c r="F941" s="32"/>
      <c r="G941" s="3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3"/>
      <c r="B942" s="9"/>
      <c r="C942" s="3"/>
      <c r="D942" s="33"/>
      <c r="E942" s="32"/>
      <c r="F942" s="32"/>
      <c r="G942" s="3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3"/>
      <c r="B943" s="9"/>
      <c r="C943" s="3"/>
      <c r="D943" s="33"/>
      <c r="E943" s="32"/>
      <c r="F943" s="32"/>
      <c r="G943" s="3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3"/>
      <c r="B944" s="9"/>
      <c r="C944" s="3"/>
      <c r="D944" s="33"/>
      <c r="E944" s="32"/>
      <c r="F944" s="32"/>
      <c r="G944" s="3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3"/>
      <c r="B945" s="9"/>
      <c r="C945" s="3"/>
      <c r="D945" s="33"/>
      <c r="E945" s="32"/>
      <c r="F945" s="32"/>
      <c r="G945" s="3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3"/>
      <c r="B946" s="9"/>
      <c r="C946" s="3"/>
      <c r="D946" s="33"/>
      <c r="E946" s="32"/>
      <c r="F946" s="32"/>
      <c r="G946" s="3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3"/>
      <c r="B947" s="9"/>
      <c r="C947" s="3"/>
      <c r="D947" s="33"/>
      <c r="E947" s="32"/>
      <c r="F947" s="32"/>
      <c r="G947" s="3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3"/>
      <c r="B948" s="9"/>
      <c r="C948" s="3"/>
      <c r="D948" s="33"/>
      <c r="E948" s="32"/>
      <c r="F948" s="32"/>
      <c r="G948" s="3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3"/>
      <c r="B949" s="9"/>
      <c r="C949" s="3"/>
      <c r="D949" s="33"/>
      <c r="E949" s="32"/>
      <c r="F949" s="32"/>
      <c r="G949" s="3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3"/>
      <c r="B950" s="9"/>
      <c r="C950" s="3"/>
      <c r="D950" s="33"/>
      <c r="E950" s="32"/>
      <c r="F950" s="32"/>
      <c r="G950" s="3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3"/>
      <c r="B951" s="9"/>
      <c r="C951" s="3"/>
      <c r="D951" s="33"/>
      <c r="E951" s="32"/>
      <c r="F951" s="32"/>
      <c r="G951" s="3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3"/>
      <c r="B952" s="9"/>
      <c r="C952" s="3"/>
      <c r="D952" s="33"/>
      <c r="E952" s="32"/>
      <c r="F952" s="32"/>
      <c r="G952" s="3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3"/>
      <c r="B953" s="9"/>
      <c r="C953" s="3"/>
      <c r="D953" s="33"/>
      <c r="E953" s="32"/>
      <c r="F953" s="32"/>
      <c r="G953" s="3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3"/>
      <c r="B954" s="9"/>
      <c r="C954" s="3"/>
      <c r="D954" s="33"/>
      <c r="E954" s="32"/>
      <c r="F954" s="32"/>
      <c r="G954" s="3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3"/>
      <c r="B955" s="9"/>
      <c r="C955" s="3"/>
      <c r="D955" s="33"/>
      <c r="E955" s="32"/>
      <c r="F955" s="32"/>
      <c r="G955" s="3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3"/>
      <c r="B956" s="9"/>
      <c r="C956" s="3"/>
      <c r="D956" s="33"/>
      <c r="E956" s="32"/>
      <c r="F956" s="32"/>
      <c r="G956" s="3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3"/>
      <c r="B957" s="9"/>
      <c r="C957" s="3"/>
      <c r="D957" s="33"/>
      <c r="E957" s="32"/>
      <c r="F957" s="32"/>
      <c r="G957" s="3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3"/>
      <c r="B958" s="9"/>
      <c r="C958" s="3"/>
      <c r="D958" s="33"/>
      <c r="E958" s="32"/>
      <c r="F958" s="32"/>
      <c r="G958" s="3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3"/>
      <c r="B959" s="9"/>
      <c r="C959" s="3"/>
      <c r="D959" s="33"/>
      <c r="E959" s="32"/>
      <c r="F959" s="32"/>
      <c r="G959" s="3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3"/>
      <c r="B960" s="9"/>
      <c r="C960" s="3"/>
      <c r="D960" s="33"/>
      <c r="E960" s="32"/>
      <c r="F960" s="32"/>
      <c r="G960" s="3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3"/>
      <c r="B961" s="9"/>
      <c r="C961" s="3"/>
      <c r="D961" s="33"/>
      <c r="E961" s="32"/>
      <c r="F961" s="32"/>
      <c r="G961" s="3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3"/>
      <c r="B962" s="9"/>
      <c r="C962" s="3"/>
      <c r="D962" s="33"/>
      <c r="E962" s="32"/>
      <c r="F962" s="32"/>
      <c r="G962" s="3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3"/>
      <c r="B963" s="9"/>
      <c r="C963" s="3"/>
      <c r="D963" s="33"/>
      <c r="E963" s="32"/>
      <c r="F963" s="32"/>
      <c r="G963" s="3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3"/>
      <c r="B964" s="9"/>
      <c r="C964" s="3"/>
      <c r="D964" s="33"/>
      <c r="E964" s="32"/>
      <c r="F964" s="32"/>
      <c r="G964" s="3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3"/>
      <c r="B965" s="9"/>
      <c r="C965" s="3"/>
      <c r="D965" s="33"/>
      <c r="E965" s="32"/>
      <c r="F965" s="32"/>
      <c r="G965" s="3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3"/>
      <c r="B966" s="9"/>
      <c r="C966" s="3"/>
      <c r="D966" s="33"/>
      <c r="E966" s="32"/>
      <c r="F966" s="32"/>
      <c r="G966" s="3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3"/>
      <c r="B967" s="9"/>
      <c r="C967" s="3"/>
      <c r="D967" s="33"/>
      <c r="E967" s="32"/>
      <c r="F967" s="32"/>
      <c r="G967" s="3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3"/>
      <c r="B968" s="9"/>
      <c r="C968" s="3"/>
      <c r="D968" s="33"/>
      <c r="E968" s="32"/>
      <c r="F968" s="32"/>
      <c r="G968" s="3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3"/>
      <c r="B969" s="9"/>
      <c r="C969" s="3"/>
      <c r="D969" s="33"/>
      <c r="E969" s="32"/>
      <c r="F969" s="32"/>
      <c r="G969" s="3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3"/>
      <c r="B970" s="9"/>
      <c r="C970" s="3"/>
      <c r="D970" s="33"/>
      <c r="E970" s="32"/>
      <c r="F970" s="32"/>
      <c r="G970" s="3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3"/>
      <c r="B971" s="9"/>
      <c r="C971" s="3"/>
      <c r="D971" s="33"/>
      <c r="E971" s="32"/>
      <c r="F971" s="32"/>
      <c r="G971" s="3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3"/>
      <c r="B972" s="9"/>
      <c r="C972" s="3"/>
      <c r="D972" s="33"/>
      <c r="E972" s="32"/>
      <c r="F972" s="32"/>
      <c r="G972" s="3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3"/>
      <c r="B973" s="9"/>
      <c r="C973" s="3"/>
      <c r="D973" s="33"/>
      <c r="E973" s="32"/>
      <c r="F973" s="32"/>
      <c r="G973" s="3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3"/>
      <c r="B974" s="9"/>
      <c r="C974" s="3"/>
      <c r="D974" s="33"/>
      <c r="E974" s="32"/>
      <c r="F974" s="32"/>
      <c r="G974" s="3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3"/>
      <c r="B975" s="9"/>
      <c r="C975" s="3"/>
      <c r="D975" s="33"/>
      <c r="E975" s="32"/>
      <c r="F975" s="32"/>
      <c r="G975" s="3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3"/>
      <c r="B976" s="9"/>
      <c r="C976" s="3"/>
      <c r="D976" s="33"/>
      <c r="E976" s="32"/>
      <c r="F976" s="32"/>
      <c r="G976" s="3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3"/>
      <c r="B977" s="9"/>
      <c r="C977" s="3"/>
      <c r="D977" s="33"/>
      <c r="E977" s="32"/>
      <c r="F977" s="32"/>
      <c r="G977" s="3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3"/>
      <c r="B978" s="9"/>
      <c r="C978" s="3"/>
      <c r="D978" s="33"/>
      <c r="E978" s="32"/>
      <c r="F978" s="32"/>
      <c r="G978" s="3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3"/>
      <c r="B979" s="9"/>
      <c r="C979" s="3"/>
      <c r="D979" s="33"/>
      <c r="E979" s="32"/>
      <c r="F979" s="32"/>
      <c r="G979" s="3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3"/>
      <c r="B980" s="9"/>
      <c r="C980" s="3"/>
      <c r="D980" s="33"/>
      <c r="E980" s="32"/>
      <c r="F980" s="32"/>
      <c r="G980" s="3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3"/>
      <c r="B981" s="9"/>
      <c r="C981" s="3"/>
      <c r="D981" s="33"/>
      <c r="E981" s="32"/>
      <c r="F981" s="32"/>
      <c r="G981" s="3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3"/>
      <c r="B982" s="9"/>
      <c r="C982" s="3"/>
      <c r="D982" s="33"/>
      <c r="E982" s="32"/>
      <c r="F982" s="32"/>
      <c r="G982" s="3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3"/>
      <c r="B983" s="9"/>
      <c r="C983" s="3"/>
      <c r="D983" s="33"/>
      <c r="E983" s="32"/>
      <c r="F983" s="32"/>
      <c r="G983" s="3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3"/>
      <c r="B984" s="9"/>
      <c r="C984" s="3"/>
      <c r="D984" s="33"/>
      <c r="E984" s="32"/>
      <c r="F984" s="32"/>
      <c r="G984" s="3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3"/>
      <c r="B985" s="9"/>
      <c r="C985" s="3"/>
      <c r="D985" s="33"/>
      <c r="E985" s="32"/>
      <c r="F985" s="32"/>
      <c r="G985" s="3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3"/>
      <c r="B986" s="9"/>
      <c r="C986" s="3"/>
      <c r="D986" s="33"/>
      <c r="E986" s="32"/>
      <c r="F986" s="32"/>
      <c r="G986" s="3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3"/>
      <c r="B987" s="9"/>
      <c r="C987" s="3"/>
      <c r="D987" s="33"/>
      <c r="E987" s="32"/>
      <c r="F987" s="32"/>
      <c r="G987" s="3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3"/>
      <c r="B988" s="9"/>
      <c r="C988" s="3"/>
      <c r="D988" s="33"/>
      <c r="E988" s="32"/>
      <c r="F988" s="32"/>
      <c r="G988" s="3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3"/>
      <c r="B989" s="9"/>
      <c r="C989" s="3"/>
      <c r="D989" s="33"/>
      <c r="E989" s="32"/>
      <c r="F989" s="32"/>
      <c r="G989" s="3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3"/>
      <c r="B990" s="9"/>
      <c r="C990" s="3"/>
      <c r="D990" s="33"/>
      <c r="E990" s="32"/>
      <c r="F990" s="32"/>
      <c r="G990" s="3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3"/>
      <c r="B991" s="9"/>
      <c r="C991" s="3"/>
      <c r="D991" s="33"/>
      <c r="E991" s="32"/>
      <c r="F991" s="32"/>
      <c r="G991" s="3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3"/>
      <c r="B992" s="9"/>
      <c r="C992" s="3"/>
      <c r="D992" s="33"/>
      <c r="E992" s="32"/>
      <c r="F992" s="32"/>
      <c r="G992" s="3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3"/>
      <c r="B993" s="9"/>
      <c r="C993" s="3"/>
      <c r="D993" s="33"/>
      <c r="E993" s="32"/>
      <c r="F993" s="32"/>
      <c r="G993" s="3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3"/>
      <c r="B994" s="9"/>
      <c r="C994" s="3"/>
      <c r="D994" s="33"/>
      <c r="E994" s="32"/>
      <c r="F994" s="32"/>
      <c r="G994" s="3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3"/>
      <c r="B995" s="9"/>
      <c r="C995" s="3"/>
      <c r="D995" s="33"/>
      <c r="E995" s="32"/>
      <c r="F995" s="32"/>
      <c r="G995" s="3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3"/>
      <c r="B996" s="9"/>
      <c r="C996" s="3"/>
      <c r="D996" s="33"/>
      <c r="E996" s="32"/>
      <c r="F996" s="32"/>
      <c r="G996" s="3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3"/>
      <c r="B997" s="9"/>
      <c r="C997" s="3"/>
      <c r="D997" s="33"/>
      <c r="E997" s="32"/>
      <c r="F997" s="32"/>
      <c r="G997" s="3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3"/>
      <c r="B998" s="9"/>
      <c r="C998" s="3"/>
      <c r="D998" s="33"/>
      <c r="E998" s="32"/>
      <c r="F998" s="32"/>
      <c r="G998" s="3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3"/>
      <c r="B999" s="9"/>
      <c r="C999" s="3"/>
      <c r="D999" s="33"/>
      <c r="E999" s="32"/>
      <c r="F999" s="32"/>
      <c r="G999" s="3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3"/>
      <c r="B1000" s="9"/>
      <c r="C1000" s="3"/>
      <c r="D1000" s="33"/>
      <c r="E1000" s="32"/>
      <c r="F1000" s="32"/>
      <c r="G1000" s="3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E2:F1000 H84:K140 N84:N140 C94">
    <cfRule type="cellIs" dxfId="0" priority="1" operator="greaterThanOrEqual">
      <formula>3000</formula>
    </cfRule>
  </conditionalFormatting>
  <conditionalFormatting sqref="E2:F1000 H84:K140 N84:N140 C94">
    <cfRule type="cellIs" dxfId="1" priority="2" operator="greaterThanOrEqual">
      <formula>2600</formula>
    </cfRule>
  </conditionalFormatting>
  <conditionalFormatting sqref="E2:F1000 H84:K140 N84:N140 C94">
    <cfRule type="cellIs" dxfId="2" priority="3" operator="greaterThanOrEqual">
      <formula>2400</formula>
    </cfRule>
  </conditionalFormatting>
  <conditionalFormatting sqref="E2:F1000 H84:K140 N84:N140 C94">
    <cfRule type="cellIs" dxfId="3" priority="4" operator="greaterThanOrEqual">
      <formula>2300</formula>
    </cfRule>
  </conditionalFormatting>
  <conditionalFormatting sqref="E2:F1000 H84:K140 N84:N140 C94">
    <cfRule type="cellIs" dxfId="4" priority="5" operator="greaterThanOrEqual">
      <formula>2100</formula>
    </cfRule>
  </conditionalFormatting>
  <conditionalFormatting sqref="E2:F1000 H84:K140 N84:N140 C94">
    <cfRule type="cellIs" dxfId="5" priority="6" operator="greaterThanOrEqual">
      <formula>1900</formula>
    </cfRule>
  </conditionalFormatting>
  <conditionalFormatting sqref="E2:F1000 H84:K140 N84:N140 C94">
    <cfRule type="cellIs" dxfId="6" priority="7" operator="greaterThanOrEqual">
      <formula>1600</formula>
    </cfRule>
  </conditionalFormatting>
  <conditionalFormatting sqref="E2:F1000 H84:K140 N84:N140 C94">
    <cfRule type="cellIs" dxfId="14" priority="8" operator="greaterThanOrEqual">
      <formula>1400</formula>
    </cfRule>
  </conditionalFormatting>
  <conditionalFormatting sqref="E2:F1000 H84:K140 N84:N140 C94">
    <cfRule type="cellIs" dxfId="8" priority="9" operator="greaterThanOrEqual">
      <formula>1200</formula>
    </cfRule>
  </conditionalFormatting>
  <conditionalFormatting sqref="E2:F1000 H84:K140 N84:N140 C94">
    <cfRule type="notContainsBlanks" dxfId="9" priority="10">
      <formula>LEN(TRIM(E2))&gt;0</formula>
    </cfRule>
  </conditionalFormatting>
  <conditionalFormatting sqref="D1:D1000">
    <cfRule type="cellIs" dxfId="15" priority="11" operator="equal">
      <formula>1</formula>
    </cfRule>
  </conditionalFormatting>
  <conditionalFormatting sqref="D1:D1000">
    <cfRule type="cellIs" dxfId="13" priority="12" operator="equal">
      <formula>2</formula>
    </cfRule>
  </conditionalFormatting>
  <conditionalFormatting sqref="D1:D1000">
    <cfRule type="cellIs" dxfId="16" priority="13" operator="equal">
      <formula>3</formula>
    </cfRule>
  </conditionalFormatting>
  <conditionalFormatting sqref="G1:G1000">
    <cfRule type="cellIs" dxfId="17" priority="14" operator="greaterThan">
      <formula>0</formula>
    </cfRule>
  </conditionalFormatting>
  <conditionalFormatting sqref="G1:G1000">
    <cfRule type="cellIs" dxfId="18" priority="15" operator="lessThan">
      <formula>0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</hyperlinks>
  <drawing r:id="rId5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4.63"/>
  </cols>
  <sheetData>
    <row r="1">
      <c r="A1" s="27" t="s">
        <v>129</v>
      </c>
      <c r="B1" s="6" t="s">
        <v>243</v>
      </c>
      <c r="C1" s="1" t="s">
        <v>0</v>
      </c>
      <c r="D1" s="27" t="s">
        <v>244</v>
      </c>
      <c r="E1" s="28" t="s">
        <v>130</v>
      </c>
      <c r="F1" s="29" t="s">
        <v>245</v>
      </c>
      <c r="G1" s="30" t="s">
        <v>246</v>
      </c>
      <c r="H1" s="1" t="s">
        <v>3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7" t="s">
        <v>254</v>
      </c>
      <c r="B2" s="6">
        <v>43623.0</v>
      </c>
      <c r="C2" s="7" t="s">
        <v>255</v>
      </c>
      <c r="D2" s="27" t="s">
        <v>248</v>
      </c>
      <c r="E2" s="31">
        <v>1712.0</v>
      </c>
      <c r="F2" s="31">
        <v>1560.0</v>
      </c>
      <c r="G2" s="31">
        <f>F2 - 1500</f>
        <v>60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7" t="s">
        <v>256</v>
      </c>
      <c r="B3" s="6">
        <v>43625.0</v>
      </c>
      <c r="C3" s="7" t="s">
        <v>257</v>
      </c>
      <c r="D3" s="27" t="s">
        <v>258</v>
      </c>
      <c r="E3" s="31">
        <v>1416.0</v>
      </c>
      <c r="F3" s="31">
        <v>1523.0</v>
      </c>
      <c r="G3" s="32">
        <f t="shared" ref="G3:G54" si="1">F3 - F2</f>
        <v>-37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7" t="s">
        <v>259</v>
      </c>
      <c r="B4" s="6">
        <v>43632.0</v>
      </c>
      <c r="C4" s="7" t="s">
        <v>260</v>
      </c>
      <c r="D4" s="27" t="s">
        <v>248</v>
      </c>
      <c r="E4" s="31">
        <v>1866.0</v>
      </c>
      <c r="F4" s="31">
        <v>1621.0</v>
      </c>
      <c r="G4" s="32">
        <f t="shared" si="1"/>
        <v>98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7" t="s">
        <v>261</v>
      </c>
      <c r="B5" s="6">
        <v>43635.0</v>
      </c>
      <c r="C5" s="7" t="s">
        <v>262</v>
      </c>
      <c r="D5" s="27" t="s">
        <v>248</v>
      </c>
      <c r="E5" s="31">
        <v>1659.0</v>
      </c>
      <c r="F5" s="31">
        <v>1631.0</v>
      </c>
      <c r="G5" s="32">
        <f t="shared" si="1"/>
        <v>10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7" t="s">
        <v>263</v>
      </c>
      <c r="B6" s="6">
        <v>43637.0</v>
      </c>
      <c r="C6" s="7" t="s">
        <v>264</v>
      </c>
      <c r="D6" s="27" t="s">
        <v>248</v>
      </c>
      <c r="E6" s="31">
        <v>1574.0</v>
      </c>
      <c r="F6" s="31">
        <v>1616.0</v>
      </c>
      <c r="G6" s="32">
        <f t="shared" si="1"/>
        <v>-15</v>
      </c>
      <c r="H6" s="1" t="s">
        <v>265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7" t="s">
        <v>266</v>
      </c>
      <c r="B7" s="6">
        <v>43646.0</v>
      </c>
      <c r="C7" s="7" t="s">
        <v>267</v>
      </c>
      <c r="D7" s="27" t="s">
        <v>248</v>
      </c>
      <c r="E7" s="31">
        <v>1779.0</v>
      </c>
      <c r="F7" s="31">
        <v>1660.0</v>
      </c>
      <c r="G7" s="32">
        <f t="shared" si="1"/>
        <v>44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7" t="s">
        <v>268</v>
      </c>
      <c r="B8" s="6">
        <v>43651.0</v>
      </c>
      <c r="C8" s="7" t="s">
        <v>269</v>
      </c>
      <c r="D8" s="27" t="s">
        <v>248</v>
      </c>
      <c r="E8" s="31">
        <v>1865.0</v>
      </c>
      <c r="F8" s="31">
        <v>1716.0</v>
      </c>
      <c r="G8" s="32">
        <f t="shared" si="1"/>
        <v>56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7" t="s">
        <v>270</v>
      </c>
      <c r="B9" s="6">
        <v>43658.0</v>
      </c>
      <c r="C9" s="7" t="s">
        <v>271</v>
      </c>
      <c r="D9" s="27" t="s">
        <v>248</v>
      </c>
      <c r="E9" s="31">
        <v>2269.0</v>
      </c>
      <c r="F9" s="31">
        <v>1869.0</v>
      </c>
      <c r="G9" s="32">
        <f t="shared" si="1"/>
        <v>153</v>
      </c>
      <c r="H9" s="1" t="s">
        <v>272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7" t="s">
        <v>273</v>
      </c>
      <c r="B10" s="6">
        <v>43660.0</v>
      </c>
      <c r="C10" s="7" t="s">
        <v>274</v>
      </c>
      <c r="D10" s="27" t="s">
        <v>248</v>
      </c>
      <c r="E10" s="31">
        <v>1653.0</v>
      </c>
      <c r="F10" s="31">
        <v>1818.0</v>
      </c>
      <c r="G10" s="32">
        <f t="shared" si="1"/>
        <v>-51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7" t="s">
        <v>275</v>
      </c>
      <c r="B11" s="6">
        <v>43663.0</v>
      </c>
      <c r="C11" s="7" t="s">
        <v>276</v>
      </c>
      <c r="D11" s="27" t="s">
        <v>248</v>
      </c>
      <c r="E11" s="31">
        <v>2043.0</v>
      </c>
      <c r="F11" s="31">
        <v>1879.0</v>
      </c>
      <c r="G11" s="32">
        <f t="shared" si="1"/>
        <v>61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7" t="s">
        <v>277</v>
      </c>
      <c r="B12" s="6">
        <v>43666.0</v>
      </c>
      <c r="C12" s="7" t="s">
        <v>278</v>
      </c>
      <c r="D12" s="27" t="s">
        <v>247</v>
      </c>
      <c r="E12" s="31">
        <v>1757.0</v>
      </c>
      <c r="F12" s="31">
        <v>1849.0</v>
      </c>
      <c r="G12" s="32">
        <f t="shared" si="1"/>
        <v>-30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7" t="s">
        <v>279</v>
      </c>
      <c r="B13" s="6">
        <v>43668.0</v>
      </c>
      <c r="C13" s="7" t="s">
        <v>280</v>
      </c>
      <c r="D13" s="27" t="s">
        <v>248</v>
      </c>
      <c r="E13" s="31">
        <v>1808.0</v>
      </c>
      <c r="F13" s="31">
        <v>1837.0</v>
      </c>
      <c r="G13" s="32">
        <f t="shared" si="1"/>
        <v>-12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7" t="s">
        <v>281</v>
      </c>
      <c r="B14" s="6">
        <v>43676.0</v>
      </c>
      <c r="C14" s="7" t="s">
        <v>282</v>
      </c>
      <c r="D14" s="27" t="s">
        <v>248</v>
      </c>
      <c r="E14" s="31">
        <v>1802.0</v>
      </c>
      <c r="F14" s="31">
        <v>1827.0</v>
      </c>
      <c r="G14" s="32">
        <f t="shared" si="1"/>
        <v>-10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7" t="s">
        <v>283</v>
      </c>
      <c r="B15" s="6">
        <v>43681.0</v>
      </c>
      <c r="C15" s="7" t="s">
        <v>284</v>
      </c>
      <c r="D15" s="27" t="s">
        <v>248</v>
      </c>
      <c r="E15" s="31">
        <v>1963.0</v>
      </c>
      <c r="F15" s="31">
        <v>1863.0</v>
      </c>
      <c r="G15" s="32">
        <f t="shared" si="1"/>
        <v>36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7" t="s">
        <v>285</v>
      </c>
      <c r="B16" s="6">
        <v>43684.0</v>
      </c>
      <c r="C16" s="7" t="s">
        <v>286</v>
      </c>
      <c r="D16" s="27" t="s">
        <v>248</v>
      </c>
      <c r="E16" s="31">
        <v>1913.0</v>
      </c>
      <c r="F16" s="31">
        <v>1876.0</v>
      </c>
      <c r="G16" s="32">
        <f t="shared" si="1"/>
        <v>13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7" t="s">
        <v>287</v>
      </c>
      <c r="B17" s="6">
        <v>43688.0</v>
      </c>
      <c r="C17" s="7" t="s">
        <v>288</v>
      </c>
      <c r="D17" s="27" t="s">
        <v>248</v>
      </c>
      <c r="E17" s="31">
        <v>1948.0</v>
      </c>
      <c r="F17" s="31">
        <v>1895.0</v>
      </c>
      <c r="G17" s="32">
        <f t="shared" si="1"/>
        <v>19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7" t="s">
        <v>289</v>
      </c>
      <c r="B18" s="6">
        <v>43695.0</v>
      </c>
      <c r="C18" s="7" t="s">
        <v>290</v>
      </c>
      <c r="D18" s="27" t="s">
        <v>248</v>
      </c>
      <c r="E18" s="31">
        <v>1786.0</v>
      </c>
      <c r="F18" s="31">
        <v>1867.0</v>
      </c>
      <c r="G18" s="32">
        <f t="shared" si="1"/>
        <v>-28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7" t="s">
        <v>291</v>
      </c>
      <c r="B19" s="6">
        <v>43697.0</v>
      </c>
      <c r="C19" s="7" t="s">
        <v>292</v>
      </c>
      <c r="D19" s="27" t="s">
        <v>248</v>
      </c>
      <c r="E19" s="31">
        <v>1925.0</v>
      </c>
      <c r="F19" s="31">
        <v>1882.0</v>
      </c>
      <c r="G19" s="32">
        <f t="shared" si="1"/>
        <v>15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7" t="s">
        <v>293</v>
      </c>
      <c r="B20" s="6">
        <v>43699.0</v>
      </c>
      <c r="C20" s="7" t="s">
        <v>294</v>
      </c>
      <c r="D20" s="27" t="s">
        <v>248</v>
      </c>
      <c r="E20" s="31">
        <v>1856.0</v>
      </c>
      <c r="F20" s="31">
        <v>1881.0</v>
      </c>
      <c r="G20" s="32">
        <f t="shared" si="1"/>
        <v>-1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7" t="s">
        <v>295</v>
      </c>
      <c r="B21" s="6">
        <v>43702.0</v>
      </c>
      <c r="C21" s="7" t="s">
        <v>296</v>
      </c>
      <c r="D21" s="27" t="s">
        <v>247</v>
      </c>
      <c r="E21" s="31">
        <v>2118.0</v>
      </c>
      <c r="F21" s="31">
        <v>1943.0</v>
      </c>
      <c r="G21" s="32">
        <f t="shared" si="1"/>
        <v>62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7" t="s">
        <v>297</v>
      </c>
      <c r="B22" s="6">
        <v>43722.0</v>
      </c>
      <c r="C22" s="7" t="s">
        <v>298</v>
      </c>
      <c r="D22" s="27" t="s">
        <v>248</v>
      </c>
      <c r="E22" s="31">
        <v>1929.0</v>
      </c>
      <c r="F22" s="31">
        <v>1939.0</v>
      </c>
      <c r="G22" s="32">
        <f t="shared" si="1"/>
        <v>-4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7" t="s">
        <v>299</v>
      </c>
      <c r="B23" s="6">
        <v>43723.0</v>
      </c>
      <c r="C23" s="7" t="s">
        <v>300</v>
      </c>
      <c r="D23" s="27" t="s">
        <v>248</v>
      </c>
      <c r="E23" s="31">
        <v>1920.0</v>
      </c>
      <c r="F23" s="31">
        <v>1934.0</v>
      </c>
      <c r="G23" s="32">
        <f t="shared" si="1"/>
        <v>-5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7" t="s">
        <v>301</v>
      </c>
      <c r="B24" s="6">
        <v>43737.0</v>
      </c>
      <c r="C24" s="7" t="s">
        <v>302</v>
      </c>
      <c r="D24" s="27" t="s">
        <v>248</v>
      </c>
      <c r="E24" s="31">
        <v>2100.0</v>
      </c>
      <c r="F24" s="31">
        <v>1978.0</v>
      </c>
      <c r="G24" s="32">
        <f t="shared" si="1"/>
        <v>44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7" t="s">
        <v>303</v>
      </c>
      <c r="B25" s="6">
        <v>43764.0</v>
      </c>
      <c r="C25" s="7" t="s">
        <v>304</v>
      </c>
      <c r="D25" s="27" t="s">
        <v>247</v>
      </c>
      <c r="E25" s="31">
        <v>1898.0</v>
      </c>
      <c r="F25" s="31">
        <v>1958.0</v>
      </c>
      <c r="G25" s="32">
        <f t="shared" si="1"/>
        <v>-20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7" t="s">
        <v>305</v>
      </c>
      <c r="B26" s="6">
        <v>43785.0</v>
      </c>
      <c r="C26" s="7" t="s">
        <v>306</v>
      </c>
      <c r="D26" s="27" t="s">
        <v>248</v>
      </c>
      <c r="E26" s="31">
        <v>2151.0</v>
      </c>
      <c r="F26" s="31">
        <v>2009.0</v>
      </c>
      <c r="G26" s="32">
        <f t="shared" si="1"/>
        <v>51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7" t="s">
        <v>307</v>
      </c>
      <c r="B27" s="6">
        <v>43798.0</v>
      </c>
      <c r="C27" s="7" t="s">
        <v>308</v>
      </c>
      <c r="D27" s="27" t="s">
        <v>248</v>
      </c>
      <c r="E27" s="31">
        <v>2489.0</v>
      </c>
      <c r="F27" s="31">
        <v>2138.0</v>
      </c>
      <c r="G27" s="32">
        <f t="shared" si="1"/>
        <v>129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7" t="s">
        <v>309</v>
      </c>
      <c r="B28" s="6">
        <v>43828.0</v>
      </c>
      <c r="C28" s="7" t="s">
        <v>310</v>
      </c>
      <c r="D28" s="27" t="s">
        <v>247</v>
      </c>
      <c r="E28" s="31">
        <v>1821.0</v>
      </c>
      <c r="F28" s="31">
        <v>2061.0</v>
      </c>
      <c r="G28" s="32">
        <f t="shared" si="1"/>
        <v>-77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7" t="s">
        <v>311</v>
      </c>
      <c r="B29" s="6">
        <v>43835.0</v>
      </c>
      <c r="C29" s="7" t="s">
        <v>312</v>
      </c>
      <c r="D29" s="27" t="s">
        <v>247</v>
      </c>
      <c r="E29" s="31">
        <v>2091.0</v>
      </c>
      <c r="F29" s="31">
        <v>2069.0</v>
      </c>
      <c r="G29" s="32">
        <f t="shared" si="1"/>
        <v>8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7" t="s">
        <v>313</v>
      </c>
      <c r="B30" s="6">
        <v>43849.0</v>
      </c>
      <c r="C30" s="7" t="s">
        <v>314</v>
      </c>
      <c r="D30" s="27" t="s">
        <v>247</v>
      </c>
      <c r="E30" s="31">
        <v>2454.0</v>
      </c>
      <c r="F30" s="31">
        <v>2179.0</v>
      </c>
      <c r="G30" s="32">
        <f t="shared" si="1"/>
        <v>110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7" t="s">
        <v>315</v>
      </c>
      <c r="B31" s="6">
        <v>43863.0</v>
      </c>
      <c r="C31" s="7" t="s">
        <v>316</v>
      </c>
      <c r="D31" s="27" t="s">
        <v>247</v>
      </c>
      <c r="E31" s="31">
        <v>1955.0</v>
      </c>
      <c r="F31" s="31">
        <v>2125.0</v>
      </c>
      <c r="G31" s="32">
        <f t="shared" si="1"/>
        <v>-54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7" t="s">
        <v>317</v>
      </c>
      <c r="B32" s="6">
        <v>43870.0</v>
      </c>
      <c r="C32" s="7" t="s">
        <v>318</v>
      </c>
      <c r="D32" s="27" t="s">
        <v>247</v>
      </c>
      <c r="E32" s="31">
        <v>2015.0</v>
      </c>
      <c r="F32" s="31">
        <v>2098.0</v>
      </c>
      <c r="G32" s="32">
        <f t="shared" si="1"/>
        <v>-27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7" t="s">
        <v>319</v>
      </c>
      <c r="B33" s="6">
        <v>43876.0</v>
      </c>
      <c r="C33" s="7" t="s">
        <v>320</v>
      </c>
      <c r="D33" s="27" t="s">
        <v>248</v>
      </c>
      <c r="E33" s="31">
        <v>2691.0</v>
      </c>
      <c r="F33" s="31">
        <v>2255.0</v>
      </c>
      <c r="G33" s="32">
        <f t="shared" si="1"/>
        <v>157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7" t="s">
        <v>321</v>
      </c>
      <c r="B34" s="6">
        <v>43884.0</v>
      </c>
      <c r="C34" s="7" t="s">
        <v>322</v>
      </c>
      <c r="D34" s="27" t="s">
        <v>247</v>
      </c>
      <c r="E34" s="31">
        <v>2095.0</v>
      </c>
      <c r="F34" s="31">
        <v>2215.0</v>
      </c>
      <c r="G34" s="32">
        <f t="shared" si="1"/>
        <v>-40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7" t="s">
        <v>323</v>
      </c>
      <c r="B35" s="6">
        <v>43891.0</v>
      </c>
      <c r="C35" s="7" t="s">
        <v>324</v>
      </c>
      <c r="D35" s="27" t="s">
        <v>247</v>
      </c>
      <c r="E35" s="31">
        <v>2459.0</v>
      </c>
      <c r="F35" s="31">
        <v>2281.0</v>
      </c>
      <c r="G35" s="32">
        <f t="shared" si="1"/>
        <v>66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7" t="s">
        <v>325</v>
      </c>
      <c r="B36" s="6">
        <v>43909.0</v>
      </c>
      <c r="C36" s="7" t="s">
        <v>326</v>
      </c>
      <c r="D36" s="27" t="s">
        <v>247</v>
      </c>
      <c r="E36" s="31">
        <v>1561.0</v>
      </c>
      <c r="F36" s="31">
        <v>2115.0</v>
      </c>
      <c r="G36" s="32">
        <f t="shared" si="1"/>
        <v>-166</v>
      </c>
      <c r="H36" s="1" t="s">
        <v>327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7" t="s">
        <v>328</v>
      </c>
      <c r="B37" s="6">
        <v>43924.0</v>
      </c>
      <c r="C37" s="7" t="s">
        <v>329</v>
      </c>
      <c r="D37" s="27" t="s">
        <v>247</v>
      </c>
      <c r="E37" s="31">
        <v>2130.0</v>
      </c>
      <c r="F37" s="31">
        <v>2119.0</v>
      </c>
      <c r="G37" s="32">
        <f t="shared" si="1"/>
        <v>4</v>
      </c>
      <c r="H37" s="1" t="s">
        <v>330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7" t="s">
        <v>331</v>
      </c>
      <c r="B38" s="6">
        <v>43933.0</v>
      </c>
      <c r="C38" s="7" t="s">
        <v>332</v>
      </c>
      <c r="D38" s="27" t="s">
        <v>247</v>
      </c>
      <c r="E38" s="31">
        <v>2485.0</v>
      </c>
      <c r="F38" s="31">
        <v>2222.0</v>
      </c>
      <c r="G38" s="32">
        <f t="shared" si="1"/>
        <v>103</v>
      </c>
      <c r="H38" s="1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7" t="s">
        <v>333</v>
      </c>
      <c r="B39" s="6">
        <v>43936.0</v>
      </c>
      <c r="C39" s="7" t="s">
        <v>334</v>
      </c>
      <c r="D39" s="27" t="s">
        <v>247</v>
      </c>
      <c r="E39" s="31">
        <v>1940.0</v>
      </c>
      <c r="F39" s="31">
        <v>2155.0</v>
      </c>
      <c r="G39" s="32">
        <f t="shared" si="1"/>
        <v>-67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7" t="s">
        <v>335</v>
      </c>
      <c r="B40" s="6">
        <v>43944.0</v>
      </c>
      <c r="C40" s="7" t="s">
        <v>336</v>
      </c>
      <c r="D40" s="27" t="s">
        <v>247</v>
      </c>
      <c r="E40" s="31">
        <v>2554.0</v>
      </c>
      <c r="F40" s="31">
        <v>2155.0</v>
      </c>
      <c r="G40" s="32">
        <f t="shared" si="1"/>
        <v>0</v>
      </c>
      <c r="H40" s="1" t="s">
        <v>249</v>
      </c>
      <c r="I40" s="1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7" t="s">
        <v>337</v>
      </c>
      <c r="B41" s="6">
        <v>43963.0</v>
      </c>
      <c r="C41" s="7" t="s">
        <v>338</v>
      </c>
      <c r="D41" s="27" t="s">
        <v>247</v>
      </c>
      <c r="E41" s="31">
        <v>2413.0</v>
      </c>
      <c r="F41" s="31">
        <v>2226.0</v>
      </c>
      <c r="G41" s="32">
        <f t="shared" si="1"/>
        <v>71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7" t="s">
        <v>339</v>
      </c>
      <c r="B42" s="6">
        <v>43986.0</v>
      </c>
      <c r="C42" s="7" t="s">
        <v>340</v>
      </c>
      <c r="D42" s="27" t="s">
        <v>247</v>
      </c>
      <c r="E42" s="31">
        <v>2304.0</v>
      </c>
      <c r="F42" s="31">
        <v>2247.0</v>
      </c>
      <c r="G42" s="32">
        <f t="shared" si="1"/>
        <v>21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7" t="s">
        <v>341</v>
      </c>
      <c r="B43" s="6">
        <v>44000.0</v>
      </c>
      <c r="C43" s="4" t="s">
        <v>342</v>
      </c>
      <c r="D43" s="27" t="s">
        <v>247</v>
      </c>
      <c r="E43" s="31">
        <v>2606.0</v>
      </c>
      <c r="F43" s="31">
        <v>2340.0</v>
      </c>
      <c r="G43" s="32">
        <f t="shared" si="1"/>
        <v>93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7" t="s">
        <v>343</v>
      </c>
      <c r="B44" s="6">
        <v>44016.0</v>
      </c>
      <c r="C44" s="4" t="s">
        <v>344</v>
      </c>
      <c r="D44" s="27" t="s">
        <v>247</v>
      </c>
      <c r="E44" s="31">
        <v>1857.0</v>
      </c>
      <c r="F44" s="31">
        <v>2233.0</v>
      </c>
      <c r="G44" s="32">
        <f t="shared" si="1"/>
        <v>-107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7" t="s">
        <v>345</v>
      </c>
      <c r="B45" s="6">
        <v>44033.0</v>
      </c>
      <c r="C45" s="25" t="s">
        <v>346</v>
      </c>
      <c r="D45" s="27" t="s">
        <v>247</v>
      </c>
      <c r="E45" s="31">
        <v>2389.0</v>
      </c>
      <c r="F45" s="31">
        <v>2275.0</v>
      </c>
      <c r="G45" s="32">
        <f t="shared" si="1"/>
        <v>42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7" t="s">
        <v>347</v>
      </c>
      <c r="B46" s="6">
        <v>44036.0</v>
      </c>
      <c r="C46" s="25" t="s">
        <v>348</v>
      </c>
      <c r="D46" s="27" t="s">
        <v>247</v>
      </c>
      <c r="E46" s="31">
        <v>2827.0</v>
      </c>
      <c r="F46" s="31">
        <v>2424.0</v>
      </c>
      <c r="G46" s="32">
        <f t="shared" si="1"/>
        <v>149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7" t="s">
        <v>349</v>
      </c>
      <c r="B47" s="6">
        <v>44055.0</v>
      </c>
      <c r="C47" s="25" t="s">
        <v>350</v>
      </c>
      <c r="D47" s="27" t="s">
        <v>247</v>
      </c>
      <c r="E47" s="31">
        <v>2460.0</v>
      </c>
      <c r="F47" s="31">
        <v>2433.0</v>
      </c>
      <c r="G47" s="32">
        <f t="shared" si="1"/>
        <v>9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7" t="s">
        <v>351</v>
      </c>
      <c r="B48" s="6">
        <v>44073.0</v>
      </c>
      <c r="C48" s="25" t="s">
        <v>352</v>
      </c>
      <c r="D48" s="27" t="s">
        <v>247</v>
      </c>
      <c r="E48" s="31">
        <v>2474.0</v>
      </c>
      <c r="F48" s="31">
        <v>2443.0</v>
      </c>
      <c r="G48" s="32">
        <f t="shared" si="1"/>
        <v>10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7" t="s">
        <v>353</v>
      </c>
      <c r="B49" s="6">
        <v>44101.0</v>
      </c>
      <c r="C49" s="25" t="s">
        <v>354</v>
      </c>
      <c r="D49" s="27" t="s">
        <v>247</v>
      </c>
      <c r="E49" s="31">
        <v>2732.0</v>
      </c>
      <c r="F49" s="31">
        <v>2519.0</v>
      </c>
      <c r="G49" s="32">
        <f t="shared" si="1"/>
        <v>76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7" t="s">
        <v>355</v>
      </c>
      <c r="B50" s="6">
        <v>44114.0</v>
      </c>
      <c r="C50" s="25" t="s">
        <v>356</v>
      </c>
      <c r="D50" s="27" t="s">
        <v>247</v>
      </c>
      <c r="E50" s="31">
        <v>2769.0</v>
      </c>
      <c r="F50" s="31">
        <v>2583.0</v>
      </c>
      <c r="G50" s="32">
        <f t="shared" si="1"/>
        <v>64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7" t="s">
        <v>357</v>
      </c>
      <c r="B51" s="6">
        <v>44121.0</v>
      </c>
      <c r="C51" s="25" t="s">
        <v>358</v>
      </c>
      <c r="D51" s="27" t="s">
        <v>247</v>
      </c>
      <c r="E51" s="31">
        <v>2722.0</v>
      </c>
      <c r="F51" s="31">
        <v>2622.0</v>
      </c>
      <c r="G51" s="32">
        <f t="shared" si="1"/>
        <v>39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7" t="s">
        <v>359</v>
      </c>
      <c r="B52" s="6">
        <v>44195.0</v>
      </c>
      <c r="C52" s="25" t="s">
        <v>360</v>
      </c>
      <c r="D52" s="27" t="s">
        <v>247</v>
      </c>
      <c r="E52" s="31">
        <v>2563.0</v>
      </c>
      <c r="F52" s="31">
        <v>2612.0</v>
      </c>
      <c r="G52" s="32">
        <f t="shared" si="1"/>
        <v>-10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7" t="s">
        <v>361</v>
      </c>
      <c r="B53" s="6">
        <v>44234.0</v>
      </c>
      <c r="C53" s="25" t="s">
        <v>362</v>
      </c>
      <c r="D53" s="27" t="s">
        <v>247</v>
      </c>
      <c r="E53" s="31">
        <v>2785.0</v>
      </c>
      <c r="F53" s="31">
        <v>2657.0</v>
      </c>
      <c r="G53" s="32">
        <f t="shared" si="1"/>
        <v>45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7" t="s">
        <v>363</v>
      </c>
      <c r="B54" s="6">
        <v>44289.0</v>
      </c>
      <c r="C54" s="25" t="s">
        <v>364</v>
      </c>
      <c r="D54" s="27" t="s">
        <v>247</v>
      </c>
      <c r="E54" s="31">
        <v>2594.0</v>
      </c>
      <c r="F54" s="31">
        <v>2641.0</v>
      </c>
      <c r="G54" s="32">
        <f t="shared" si="1"/>
        <v>-16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B55" s="9"/>
      <c r="C55" s="25"/>
      <c r="D55" s="33"/>
      <c r="E55" s="31"/>
      <c r="F55" s="32"/>
      <c r="G55" s="3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B56" s="9"/>
      <c r="C56" s="25"/>
      <c r="D56" s="33"/>
      <c r="E56" s="32"/>
      <c r="F56" s="32"/>
      <c r="G56" s="3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B57" s="9"/>
      <c r="C57" s="25"/>
      <c r="D57" s="33"/>
      <c r="E57" s="32"/>
      <c r="F57" s="32"/>
      <c r="G57" s="3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B58" s="9"/>
      <c r="D58" s="33"/>
      <c r="E58" s="32"/>
      <c r="F58" s="32"/>
      <c r="G58" s="3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B59" s="9"/>
      <c r="D59" s="33"/>
      <c r="E59" s="32"/>
      <c r="F59" s="32"/>
      <c r="G59" s="3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B60" s="9"/>
      <c r="D60" s="33"/>
      <c r="E60" s="32"/>
      <c r="F60" s="32"/>
      <c r="G60" s="3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B61" s="9"/>
      <c r="D61" s="33"/>
      <c r="E61" s="32"/>
      <c r="F61" s="32"/>
      <c r="G61" s="3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B62" s="9"/>
      <c r="D62" s="33"/>
      <c r="E62" s="32"/>
      <c r="F62" s="32"/>
      <c r="G62" s="3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B63" s="9"/>
      <c r="D63" s="33"/>
      <c r="E63" s="32"/>
      <c r="F63" s="32"/>
      <c r="G63" s="3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B64" s="9"/>
      <c r="D64" s="33"/>
      <c r="E64" s="32"/>
      <c r="F64" s="32"/>
      <c r="G64" s="3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B65" s="9"/>
      <c r="D65" s="33"/>
      <c r="E65" s="32"/>
      <c r="F65" s="32"/>
      <c r="G65" s="3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B66" s="9"/>
      <c r="D66" s="33"/>
      <c r="E66" s="32"/>
      <c r="F66" s="32"/>
      <c r="G66" s="3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B67" s="9"/>
      <c r="D67" s="33"/>
      <c r="E67" s="32"/>
      <c r="F67" s="32"/>
      <c r="G67" s="3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B68" s="9"/>
      <c r="D68" s="33"/>
      <c r="E68" s="32"/>
      <c r="F68" s="32"/>
      <c r="G68" s="3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B69" s="9"/>
      <c r="D69" s="33"/>
      <c r="E69" s="32"/>
      <c r="F69" s="32"/>
      <c r="G69" s="3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B70" s="9"/>
      <c r="D70" s="33"/>
      <c r="E70" s="32"/>
      <c r="F70" s="32"/>
      <c r="G70" s="3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B71" s="9"/>
      <c r="D71" s="33"/>
      <c r="E71" s="32"/>
      <c r="F71" s="32"/>
      <c r="G71" s="3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B72" s="9"/>
      <c r="D72" s="33"/>
      <c r="E72" s="32"/>
      <c r="F72" s="32"/>
      <c r="G72" s="3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B73" s="9"/>
      <c r="D73" s="33"/>
      <c r="E73" s="32"/>
      <c r="F73" s="32"/>
      <c r="G73" s="3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B74" s="9"/>
      <c r="D74" s="33"/>
      <c r="E74" s="32"/>
      <c r="F74" s="32"/>
      <c r="G74" s="3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B75" s="9"/>
      <c r="D75" s="33"/>
      <c r="E75" s="32"/>
      <c r="F75" s="32"/>
      <c r="G75" s="3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B76" s="9"/>
      <c r="D76" s="33"/>
      <c r="E76" s="32"/>
      <c r="F76" s="32"/>
      <c r="G76" s="3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B77" s="9"/>
      <c r="D77" s="33"/>
      <c r="E77" s="32"/>
      <c r="F77" s="32"/>
      <c r="G77" s="3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B78" s="9"/>
      <c r="D78" s="33"/>
      <c r="E78" s="32"/>
      <c r="F78" s="32"/>
      <c r="G78" s="3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B79" s="9"/>
      <c r="D79" s="33"/>
      <c r="E79" s="32"/>
      <c r="F79" s="32"/>
      <c r="G79" s="3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B80" s="9"/>
      <c r="D80" s="33"/>
      <c r="E80" s="32"/>
      <c r="F80" s="32"/>
      <c r="G80" s="3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B81" s="9"/>
      <c r="D81" s="33"/>
      <c r="E81" s="32"/>
      <c r="F81" s="32"/>
      <c r="G81" s="3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B82" s="9"/>
      <c r="D82" s="33"/>
      <c r="E82" s="32"/>
      <c r="F82" s="32"/>
      <c r="G82" s="3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B83" s="9"/>
      <c r="D83" s="33"/>
      <c r="E83" s="32"/>
      <c r="F83" s="32"/>
      <c r="G83" s="34"/>
      <c r="H83" s="1" t="s">
        <v>245</v>
      </c>
      <c r="I83" s="1" t="s">
        <v>250</v>
      </c>
      <c r="J83" s="1" t="s">
        <v>251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B84" s="9"/>
      <c r="D84" s="33"/>
      <c r="E84" s="32"/>
      <c r="F84" s="32"/>
      <c r="G84" s="34"/>
      <c r="H84" s="32">
        <f t="shared" ref="H84:H136" si="2">F2</f>
        <v>1560</v>
      </c>
      <c r="I84" s="32">
        <f t="shared" ref="I84:I136" si="3">E2</f>
        <v>1712</v>
      </c>
      <c r="J84" s="32" t="str">
        <f t="shared" ref="J84:J86" si="4">AVERAGE(#REF!)</f>
        <v>#REF!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B85" s="9"/>
      <c r="D85" s="33"/>
      <c r="E85" s="32"/>
      <c r="F85" s="32"/>
      <c r="G85" s="34"/>
      <c r="H85" s="32">
        <f t="shared" si="2"/>
        <v>1523</v>
      </c>
      <c r="I85" s="32">
        <f t="shared" si="3"/>
        <v>1416</v>
      </c>
      <c r="J85" s="32" t="str">
        <f t="shared" si="4"/>
        <v>#REF!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B86" s="9"/>
      <c r="D86" s="33"/>
      <c r="E86" s="32"/>
      <c r="F86" s="32"/>
      <c r="G86" s="34"/>
      <c r="H86" s="32">
        <f t="shared" si="2"/>
        <v>1621</v>
      </c>
      <c r="I86" s="32">
        <f t="shared" si="3"/>
        <v>1866</v>
      </c>
      <c r="J86" s="32" t="str">
        <f t="shared" si="4"/>
        <v>#REF!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B87" s="9"/>
      <c r="D87" s="33"/>
      <c r="E87" s="32"/>
      <c r="F87" s="32"/>
      <c r="G87" s="34"/>
      <c r="H87" s="32">
        <f t="shared" si="2"/>
        <v>1631</v>
      </c>
      <c r="I87" s="32">
        <f t="shared" si="3"/>
        <v>1659</v>
      </c>
      <c r="J87" s="32">
        <f t="shared" ref="J87:J136" si="5">AVERAGE(E1:E5)</f>
        <v>1663.25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B88" s="9"/>
      <c r="D88" s="33"/>
      <c r="E88" s="32"/>
      <c r="F88" s="32"/>
      <c r="G88" s="34"/>
      <c r="H88" s="32">
        <f t="shared" si="2"/>
        <v>1616</v>
      </c>
      <c r="I88" s="32">
        <f t="shared" si="3"/>
        <v>1574</v>
      </c>
      <c r="J88" s="32">
        <f t="shared" si="5"/>
        <v>1645.4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B89" s="9"/>
      <c r="D89" s="33"/>
      <c r="E89" s="32"/>
      <c r="F89" s="32"/>
      <c r="G89" s="34"/>
      <c r="H89" s="32">
        <f t="shared" si="2"/>
        <v>1660</v>
      </c>
      <c r="I89" s="32">
        <f t="shared" si="3"/>
        <v>1779</v>
      </c>
      <c r="J89" s="32">
        <f t="shared" si="5"/>
        <v>1658.8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B90" s="9"/>
      <c r="D90" s="33"/>
      <c r="E90" s="32"/>
      <c r="F90" s="32"/>
      <c r="G90" s="34"/>
      <c r="H90" s="32">
        <f t="shared" si="2"/>
        <v>1716</v>
      </c>
      <c r="I90" s="32">
        <f t="shared" si="3"/>
        <v>1865</v>
      </c>
      <c r="J90" s="32">
        <f t="shared" si="5"/>
        <v>1748.6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B91" s="9"/>
      <c r="D91" s="33"/>
      <c r="E91" s="32"/>
      <c r="F91" s="32"/>
      <c r="G91" s="34"/>
      <c r="H91" s="32">
        <f t="shared" si="2"/>
        <v>1869</v>
      </c>
      <c r="I91" s="32">
        <f t="shared" si="3"/>
        <v>2269</v>
      </c>
      <c r="J91" s="32">
        <f t="shared" si="5"/>
        <v>1829.2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B92" s="9"/>
      <c r="D92" s="33"/>
      <c r="E92" s="32"/>
      <c r="F92" s="32"/>
      <c r="G92" s="34"/>
      <c r="H92" s="32">
        <f t="shared" si="2"/>
        <v>1818</v>
      </c>
      <c r="I92" s="32">
        <f t="shared" si="3"/>
        <v>1653</v>
      </c>
      <c r="J92" s="32">
        <f t="shared" si="5"/>
        <v>1828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B93" s="9"/>
      <c r="D93" s="33"/>
      <c r="E93" s="32"/>
      <c r="F93" s="32"/>
      <c r="G93" s="34"/>
      <c r="H93" s="32">
        <f t="shared" si="2"/>
        <v>1879</v>
      </c>
      <c r="I93" s="32">
        <f t="shared" si="3"/>
        <v>2043</v>
      </c>
      <c r="J93" s="32">
        <f t="shared" si="5"/>
        <v>1921.8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3"/>
      <c r="B94" s="9"/>
      <c r="C94" s="32"/>
      <c r="D94" s="33"/>
      <c r="E94" s="32"/>
      <c r="F94" s="32"/>
      <c r="G94" s="34"/>
      <c r="H94" s="32">
        <f t="shared" si="2"/>
        <v>1849</v>
      </c>
      <c r="I94" s="32">
        <f t="shared" si="3"/>
        <v>1757</v>
      </c>
      <c r="J94" s="32">
        <f t="shared" si="5"/>
        <v>1917.4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3"/>
      <c r="B95" s="9"/>
      <c r="C95" s="3"/>
      <c r="D95" s="33"/>
      <c r="E95" s="32"/>
      <c r="F95" s="32"/>
      <c r="G95" s="34"/>
      <c r="H95" s="32">
        <f t="shared" si="2"/>
        <v>1837</v>
      </c>
      <c r="I95" s="32">
        <f t="shared" si="3"/>
        <v>1808</v>
      </c>
      <c r="J95" s="32">
        <f t="shared" si="5"/>
        <v>1906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3"/>
      <c r="B96" s="9"/>
      <c r="C96" s="3"/>
      <c r="D96" s="33"/>
      <c r="E96" s="32"/>
      <c r="F96" s="32"/>
      <c r="G96" s="34"/>
      <c r="H96" s="32">
        <f t="shared" si="2"/>
        <v>1827</v>
      </c>
      <c r="I96" s="32">
        <f t="shared" si="3"/>
        <v>1802</v>
      </c>
      <c r="J96" s="32">
        <f t="shared" si="5"/>
        <v>1812.6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3"/>
      <c r="B97" s="9"/>
      <c r="C97" s="3"/>
      <c r="D97" s="33"/>
      <c r="E97" s="32"/>
      <c r="F97" s="32"/>
      <c r="G97" s="34"/>
      <c r="H97" s="32">
        <f t="shared" si="2"/>
        <v>1863</v>
      </c>
      <c r="I97" s="32">
        <f t="shared" si="3"/>
        <v>1963</v>
      </c>
      <c r="J97" s="32">
        <f t="shared" si="5"/>
        <v>1874.6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3"/>
      <c r="B98" s="9"/>
      <c r="C98" s="3"/>
      <c r="D98" s="33"/>
      <c r="E98" s="32"/>
      <c r="F98" s="32"/>
      <c r="G98" s="34"/>
      <c r="H98" s="32">
        <f t="shared" si="2"/>
        <v>1876</v>
      </c>
      <c r="I98" s="32">
        <f t="shared" si="3"/>
        <v>1913</v>
      </c>
      <c r="J98" s="32">
        <f t="shared" si="5"/>
        <v>1848.6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3"/>
      <c r="B99" s="9"/>
      <c r="C99" s="3"/>
      <c r="D99" s="33"/>
      <c r="E99" s="32"/>
      <c r="F99" s="32"/>
      <c r="G99" s="34"/>
      <c r="H99" s="32">
        <f t="shared" si="2"/>
        <v>1895</v>
      </c>
      <c r="I99" s="32">
        <f t="shared" si="3"/>
        <v>1948</v>
      </c>
      <c r="J99" s="32">
        <f t="shared" si="5"/>
        <v>1886.8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3"/>
      <c r="B100" s="9"/>
      <c r="C100" s="3"/>
      <c r="D100" s="33"/>
      <c r="E100" s="32"/>
      <c r="F100" s="32"/>
      <c r="G100" s="34"/>
      <c r="H100" s="32">
        <f t="shared" si="2"/>
        <v>1867</v>
      </c>
      <c r="I100" s="32">
        <f t="shared" si="3"/>
        <v>1786</v>
      </c>
      <c r="J100" s="32">
        <f t="shared" si="5"/>
        <v>1882.4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3"/>
      <c r="B101" s="9"/>
      <c r="C101" s="3"/>
      <c r="D101" s="33"/>
      <c r="E101" s="32"/>
      <c r="F101" s="32"/>
      <c r="G101" s="34"/>
      <c r="H101" s="32">
        <f t="shared" si="2"/>
        <v>1882</v>
      </c>
      <c r="I101" s="32">
        <f t="shared" si="3"/>
        <v>1925</v>
      </c>
      <c r="J101" s="32">
        <f t="shared" si="5"/>
        <v>1907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3"/>
      <c r="B102" s="9"/>
      <c r="C102" s="3"/>
      <c r="D102" s="33"/>
      <c r="E102" s="32"/>
      <c r="F102" s="32"/>
      <c r="G102" s="34"/>
      <c r="H102" s="32">
        <f t="shared" si="2"/>
        <v>1881</v>
      </c>
      <c r="I102" s="32">
        <f t="shared" si="3"/>
        <v>1856</v>
      </c>
      <c r="J102" s="32">
        <f t="shared" si="5"/>
        <v>1885.6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3"/>
      <c r="B103" s="9"/>
      <c r="C103" s="3"/>
      <c r="D103" s="33"/>
      <c r="E103" s="32"/>
      <c r="F103" s="32"/>
      <c r="G103" s="34"/>
      <c r="H103" s="32">
        <f t="shared" si="2"/>
        <v>1943</v>
      </c>
      <c r="I103" s="32">
        <f t="shared" si="3"/>
        <v>2118</v>
      </c>
      <c r="J103" s="32">
        <f t="shared" si="5"/>
        <v>1926.6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3"/>
      <c r="B104" s="9"/>
      <c r="C104" s="3"/>
      <c r="D104" s="33"/>
      <c r="E104" s="32"/>
      <c r="F104" s="32"/>
      <c r="G104" s="34"/>
      <c r="H104" s="32">
        <f t="shared" si="2"/>
        <v>1939</v>
      </c>
      <c r="I104" s="32">
        <f t="shared" si="3"/>
        <v>1929</v>
      </c>
      <c r="J104" s="32">
        <f t="shared" si="5"/>
        <v>1922.8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3"/>
      <c r="B105" s="9"/>
      <c r="C105" s="3"/>
      <c r="D105" s="33"/>
      <c r="E105" s="32"/>
      <c r="F105" s="32"/>
      <c r="G105" s="34"/>
      <c r="H105" s="32">
        <f t="shared" si="2"/>
        <v>1934</v>
      </c>
      <c r="I105" s="32">
        <f t="shared" si="3"/>
        <v>1920</v>
      </c>
      <c r="J105" s="32">
        <f t="shared" si="5"/>
        <v>1949.6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3"/>
      <c r="B106" s="9"/>
      <c r="C106" s="3"/>
      <c r="D106" s="33"/>
      <c r="E106" s="32"/>
      <c r="F106" s="32"/>
      <c r="G106" s="34"/>
      <c r="H106" s="32">
        <f t="shared" si="2"/>
        <v>1978</v>
      </c>
      <c r="I106" s="32">
        <f t="shared" si="3"/>
        <v>2100</v>
      </c>
      <c r="J106" s="32">
        <f t="shared" si="5"/>
        <v>1984.6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3"/>
      <c r="B107" s="9"/>
      <c r="C107" s="3"/>
      <c r="D107" s="33"/>
      <c r="E107" s="32"/>
      <c r="F107" s="32"/>
      <c r="G107" s="34"/>
      <c r="H107" s="32">
        <f t="shared" si="2"/>
        <v>1958</v>
      </c>
      <c r="I107" s="32">
        <f t="shared" si="3"/>
        <v>1898</v>
      </c>
      <c r="J107" s="32">
        <f t="shared" si="5"/>
        <v>1993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3"/>
      <c r="B108" s="9"/>
      <c r="C108" s="3"/>
      <c r="D108" s="33"/>
      <c r="E108" s="32"/>
      <c r="F108" s="32"/>
      <c r="G108" s="34"/>
      <c r="H108" s="32">
        <f t="shared" si="2"/>
        <v>2009</v>
      </c>
      <c r="I108" s="32">
        <f t="shared" si="3"/>
        <v>2151</v>
      </c>
      <c r="J108" s="32">
        <f t="shared" si="5"/>
        <v>1999.6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3"/>
      <c r="B109" s="9"/>
      <c r="C109" s="3"/>
      <c r="D109" s="33"/>
      <c r="E109" s="32"/>
      <c r="F109" s="32"/>
      <c r="G109" s="34"/>
      <c r="H109" s="32">
        <f t="shared" si="2"/>
        <v>2138</v>
      </c>
      <c r="I109" s="32">
        <f t="shared" si="3"/>
        <v>2489</v>
      </c>
      <c r="J109" s="32">
        <f t="shared" si="5"/>
        <v>2111.6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3"/>
      <c r="B110" s="9"/>
      <c r="C110" s="3"/>
      <c r="D110" s="33"/>
      <c r="E110" s="32"/>
      <c r="F110" s="32"/>
      <c r="G110" s="34"/>
      <c r="H110" s="32">
        <f t="shared" si="2"/>
        <v>2061</v>
      </c>
      <c r="I110" s="32">
        <f t="shared" si="3"/>
        <v>1821</v>
      </c>
      <c r="J110" s="32">
        <f t="shared" si="5"/>
        <v>2091.8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3"/>
      <c r="B111" s="9"/>
      <c r="C111" s="3"/>
      <c r="D111" s="33"/>
      <c r="E111" s="32"/>
      <c r="F111" s="32"/>
      <c r="G111" s="34"/>
      <c r="H111" s="32">
        <f t="shared" si="2"/>
        <v>2069</v>
      </c>
      <c r="I111" s="32">
        <f t="shared" si="3"/>
        <v>2091</v>
      </c>
      <c r="J111" s="32">
        <f t="shared" si="5"/>
        <v>2090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3"/>
      <c r="B112" s="9"/>
      <c r="C112" s="3"/>
      <c r="D112" s="33"/>
      <c r="E112" s="32"/>
      <c r="F112" s="32"/>
      <c r="G112" s="34"/>
      <c r="H112" s="32">
        <f t="shared" si="2"/>
        <v>2179</v>
      </c>
      <c r="I112" s="32">
        <f t="shared" si="3"/>
        <v>2454</v>
      </c>
      <c r="J112" s="32">
        <f t="shared" si="5"/>
        <v>2201.2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3"/>
      <c r="B113" s="9"/>
      <c r="C113" s="3"/>
      <c r="D113" s="33"/>
      <c r="E113" s="32"/>
      <c r="F113" s="32"/>
      <c r="G113" s="34"/>
      <c r="H113" s="32">
        <f t="shared" si="2"/>
        <v>2125</v>
      </c>
      <c r="I113" s="32">
        <f t="shared" si="3"/>
        <v>1955</v>
      </c>
      <c r="J113" s="32">
        <f t="shared" si="5"/>
        <v>2162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3"/>
      <c r="B114" s="9"/>
      <c r="C114" s="3"/>
      <c r="D114" s="33"/>
      <c r="E114" s="32"/>
      <c r="F114" s="32"/>
      <c r="G114" s="34"/>
      <c r="H114" s="32">
        <f t="shared" si="2"/>
        <v>2098</v>
      </c>
      <c r="I114" s="32">
        <f t="shared" si="3"/>
        <v>2015</v>
      </c>
      <c r="J114" s="32">
        <f t="shared" si="5"/>
        <v>2067.2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3"/>
      <c r="B115" s="9"/>
      <c r="C115" s="3"/>
      <c r="D115" s="33"/>
      <c r="E115" s="32"/>
      <c r="F115" s="32"/>
      <c r="G115" s="34"/>
      <c r="H115" s="32">
        <f t="shared" si="2"/>
        <v>2255</v>
      </c>
      <c r="I115" s="32">
        <f t="shared" si="3"/>
        <v>2691</v>
      </c>
      <c r="J115" s="32">
        <f t="shared" si="5"/>
        <v>2241.2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3"/>
      <c r="B116" s="9"/>
      <c r="C116" s="3"/>
      <c r="D116" s="33"/>
      <c r="E116" s="32"/>
      <c r="F116" s="32"/>
      <c r="G116" s="34"/>
      <c r="H116" s="32">
        <f t="shared" si="2"/>
        <v>2215</v>
      </c>
      <c r="I116" s="32">
        <f t="shared" si="3"/>
        <v>2095</v>
      </c>
      <c r="J116" s="32">
        <f t="shared" si="5"/>
        <v>2242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3"/>
      <c r="B117" s="9"/>
      <c r="C117" s="3"/>
      <c r="D117" s="33"/>
      <c r="E117" s="32"/>
      <c r="F117" s="32"/>
      <c r="G117" s="34"/>
      <c r="H117" s="32">
        <f t="shared" si="2"/>
        <v>2281</v>
      </c>
      <c r="I117" s="32">
        <f t="shared" si="3"/>
        <v>2459</v>
      </c>
      <c r="J117" s="32">
        <f t="shared" si="5"/>
        <v>2243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3"/>
      <c r="B118" s="9"/>
      <c r="C118" s="3"/>
      <c r="D118" s="33"/>
      <c r="E118" s="32"/>
      <c r="F118" s="32"/>
      <c r="G118" s="34"/>
      <c r="H118" s="32">
        <f t="shared" si="2"/>
        <v>2115</v>
      </c>
      <c r="I118" s="32">
        <f t="shared" si="3"/>
        <v>1561</v>
      </c>
      <c r="J118" s="32">
        <f t="shared" si="5"/>
        <v>2164.2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3"/>
      <c r="B119" s="9"/>
      <c r="C119" s="3"/>
      <c r="D119" s="33"/>
      <c r="E119" s="32"/>
      <c r="F119" s="32"/>
      <c r="G119" s="34"/>
      <c r="H119" s="32">
        <f t="shared" si="2"/>
        <v>2119</v>
      </c>
      <c r="I119" s="32">
        <f t="shared" si="3"/>
        <v>2130</v>
      </c>
      <c r="J119" s="32">
        <f t="shared" si="5"/>
        <v>2187.2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3"/>
      <c r="B120" s="9"/>
      <c r="C120" s="3"/>
      <c r="D120" s="33"/>
      <c r="E120" s="32"/>
      <c r="F120" s="32"/>
      <c r="G120" s="34"/>
      <c r="H120" s="32">
        <f t="shared" si="2"/>
        <v>2222</v>
      </c>
      <c r="I120" s="32">
        <f t="shared" si="3"/>
        <v>2485</v>
      </c>
      <c r="J120" s="32">
        <f t="shared" si="5"/>
        <v>2146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3"/>
      <c r="B121" s="9"/>
      <c r="C121" s="3"/>
      <c r="D121" s="33"/>
      <c r="E121" s="32"/>
      <c r="F121" s="32"/>
      <c r="G121" s="34"/>
      <c r="H121" s="32">
        <f t="shared" si="2"/>
        <v>2155</v>
      </c>
      <c r="I121" s="32">
        <f t="shared" si="3"/>
        <v>1940</v>
      </c>
      <c r="J121" s="32">
        <f t="shared" si="5"/>
        <v>2115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3"/>
      <c r="B122" s="9"/>
      <c r="C122" s="3"/>
      <c r="D122" s="33"/>
      <c r="E122" s="32"/>
      <c r="F122" s="32"/>
      <c r="G122" s="34"/>
      <c r="H122" s="32">
        <f t="shared" si="2"/>
        <v>2155</v>
      </c>
      <c r="I122" s="32">
        <f t="shared" si="3"/>
        <v>2554</v>
      </c>
      <c r="J122" s="32">
        <f t="shared" si="5"/>
        <v>2134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3"/>
      <c r="B123" s="9"/>
      <c r="C123" s="3"/>
      <c r="D123" s="33"/>
      <c r="E123" s="32"/>
      <c r="F123" s="32"/>
      <c r="G123" s="34"/>
      <c r="H123" s="32">
        <f t="shared" si="2"/>
        <v>2226</v>
      </c>
      <c r="I123" s="32">
        <f t="shared" si="3"/>
        <v>2413</v>
      </c>
      <c r="J123" s="32">
        <f t="shared" si="5"/>
        <v>2304.4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3"/>
      <c r="B124" s="9"/>
      <c r="C124" s="3"/>
      <c r="D124" s="33"/>
      <c r="E124" s="32"/>
      <c r="F124" s="32"/>
      <c r="G124" s="34"/>
      <c r="H124" s="32">
        <f t="shared" si="2"/>
        <v>2247</v>
      </c>
      <c r="I124" s="32">
        <f t="shared" si="3"/>
        <v>2304</v>
      </c>
      <c r="J124" s="32">
        <f t="shared" si="5"/>
        <v>2339.2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3"/>
      <c r="B125" s="9"/>
      <c r="C125" s="3"/>
      <c r="D125" s="33"/>
      <c r="E125" s="32"/>
      <c r="F125" s="32"/>
      <c r="G125" s="34"/>
      <c r="H125" s="32">
        <f t="shared" si="2"/>
        <v>2340</v>
      </c>
      <c r="I125" s="32">
        <f t="shared" si="3"/>
        <v>2606</v>
      </c>
      <c r="J125" s="32">
        <f t="shared" si="5"/>
        <v>2363.4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3"/>
      <c r="B126" s="9"/>
      <c r="C126" s="3"/>
      <c r="D126" s="33"/>
      <c r="E126" s="32"/>
      <c r="F126" s="32"/>
      <c r="G126" s="34"/>
      <c r="H126" s="32">
        <f t="shared" si="2"/>
        <v>2233</v>
      </c>
      <c r="I126" s="32">
        <f t="shared" si="3"/>
        <v>1857</v>
      </c>
      <c r="J126" s="32">
        <f t="shared" si="5"/>
        <v>2346.8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3"/>
      <c r="B127" s="9"/>
      <c r="C127" s="3"/>
      <c r="D127" s="33"/>
      <c r="E127" s="32"/>
      <c r="F127" s="32"/>
      <c r="G127" s="34"/>
      <c r="H127" s="32">
        <f t="shared" si="2"/>
        <v>2275</v>
      </c>
      <c r="I127" s="32">
        <f t="shared" si="3"/>
        <v>2389</v>
      </c>
      <c r="J127" s="32">
        <f t="shared" si="5"/>
        <v>2313.8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3"/>
      <c r="B128" s="9"/>
      <c r="C128" s="3"/>
      <c r="D128" s="33"/>
      <c r="E128" s="32"/>
      <c r="F128" s="32"/>
      <c r="G128" s="34"/>
      <c r="H128" s="32">
        <f t="shared" si="2"/>
        <v>2424</v>
      </c>
      <c r="I128" s="32">
        <f t="shared" si="3"/>
        <v>2827</v>
      </c>
      <c r="J128" s="32">
        <f t="shared" si="5"/>
        <v>2396.6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3"/>
      <c r="B129" s="9"/>
      <c r="C129" s="3"/>
      <c r="D129" s="33"/>
      <c r="E129" s="32"/>
      <c r="F129" s="32"/>
      <c r="G129" s="34"/>
      <c r="H129" s="32">
        <f t="shared" si="2"/>
        <v>2433</v>
      </c>
      <c r="I129" s="32">
        <f t="shared" si="3"/>
        <v>2460</v>
      </c>
      <c r="J129" s="32">
        <f t="shared" si="5"/>
        <v>2427.8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3"/>
      <c r="B130" s="9"/>
      <c r="C130" s="3"/>
      <c r="D130" s="33"/>
      <c r="E130" s="32"/>
      <c r="F130" s="32"/>
      <c r="G130" s="34"/>
      <c r="H130" s="32">
        <f t="shared" si="2"/>
        <v>2443</v>
      </c>
      <c r="I130" s="32">
        <f t="shared" si="3"/>
        <v>2474</v>
      </c>
      <c r="J130" s="32">
        <f t="shared" si="5"/>
        <v>2401.4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3"/>
      <c r="B131" s="9"/>
      <c r="C131" s="3"/>
      <c r="D131" s="33"/>
      <c r="E131" s="32"/>
      <c r="F131" s="32"/>
      <c r="G131" s="34"/>
      <c r="H131" s="32">
        <f t="shared" si="2"/>
        <v>2519</v>
      </c>
      <c r="I131" s="32">
        <f t="shared" si="3"/>
        <v>2732</v>
      </c>
      <c r="J131" s="32">
        <f t="shared" si="5"/>
        <v>2576.4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3"/>
      <c r="B132" s="9"/>
      <c r="C132" s="3"/>
      <c r="D132" s="33"/>
      <c r="E132" s="32"/>
      <c r="F132" s="32"/>
      <c r="G132" s="34"/>
      <c r="H132" s="32">
        <f t="shared" si="2"/>
        <v>2583</v>
      </c>
      <c r="I132" s="32">
        <f t="shared" si="3"/>
        <v>2769</v>
      </c>
      <c r="J132" s="32">
        <f t="shared" si="5"/>
        <v>2652.4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3"/>
      <c r="B133" s="9"/>
      <c r="C133" s="3"/>
      <c r="D133" s="33"/>
      <c r="E133" s="32"/>
      <c r="F133" s="32"/>
      <c r="G133" s="34"/>
      <c r="H133" s="32">
        <f t="shared" si="2"/>
        <v>2622</v>
      </c>
      <c r="I133" s="32">
        <f t="shared" si="3"/>
        <v>2722</v>
      </c>
      <c r="J133" s="32">
        <f t="shared" si="5"/>
        <v>2631.4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3"/>
      <c r="B134" s="9"/>
      <c r="C134" s="3"/>
      <c r="D134" s="33"/>
      <c r="E134" s="32"/>
      <c r="F134" s="32"/>
      <c r="G134" s="34"/>
      <c r="H134" s="32">
        <f t="shared" si="2"/>
        <v>2612</v>
      </c>
      <c r="I134" s="32">
        <f t="shared" si="3"/>
        <v>2563</v>
      </c>
      <c r="J134" s="32">
        <f t="shared" si="5"/>
        <v>2652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3"/>
      <c r="B135" s="9"/>
      <c r="C135" s="3"/>
      <c r="D135" s="33"/>
      <c r="E135" s="32"/>
      <c r="F135" s="32"/>
      <c r="G135" s="34"/>
      <c r="H135" s="32">
        <f t="shared" si="2"/>
        <v>2657</v>
      </c>
      <c r="I135" s="32">
        <f t="shared" si="3"/>
        <v>2785</v>
      </c>
      <c r="J135" s="32">
        <f t="shared" si="5"/>
        <v>2714.2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3"/>
      <c r="B136" s="9"/>
      <c r="C136" s="3"/>
      <c r="D136" s="33"/>
      <c r="E136" s="32"/>
      <c r="F136" s="32"/>
      <c r="G136" s="34"/>
      <c r="H136" s="32">
        <f t="shared" si="2"/>
        <v>2641</v>
      </c>
      <c r="I136" s="32">
        <f t="shared" si="3"/>
        <v>2594</v>
      </c>
      <c r="J136" s="32">
        <f t="shared" si="5"/>
        <v>2686.6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3"/>
      <c r="B137" s="9"/>
      <c r="C137" s="3"/>
      <c r="D137" s="33"/>
      <c r="E137" s="32"/>
      <c r="F137" s="32"/>
      <c r="G137" s="3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3"/>
      <c r="B138" s="9"/>
      <c r="C138" s="3"/>
      <c r="D138" s="33"/>
      <c r="E138" s="32"/>
      <c r="F138" s="32"/>
      <c r="G138" s="3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3"/>
      <c r="B139" s="9"/>
      <c r="C139" s="3"/>
      <c r="D139" s="33"/>
      <c r="E139" s="32"/>
      <c r="F139" s="32"/>
      <c r="G139" s="3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3"/>
      <c r="B140" s="9"/>
      <c r="C140" s="3"/>
      <c r="D140" s="33"/>
      <c r="E140" s="32"/>
      <c r="F140" s="32"/>
      <c r="G140" s="3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3"/>
      <c r="B141" s="9"/>
      <c r="C141" s="3"/>
      <c r="D141" s="33"/>
      <c r="E141" s="32"/>
      <c r="F141" s="32"/>
      <c r="G141" s="3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3"/>
      <c r="B142" s="9"/>
      <c r="C142" s="3"/>
      <c r="D142" s="33"/>
      <c r="E142" s="32"/>
      <c r="F142" s="32"/>
      <c r="G142" s="3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3"/>
      <c r="B143" s="9"/>
      <c r="C143" s="3"/>
      <c r="D143" s="33"/>
      <c r="E143" s="32"/>
      <c r="F143" s="32"/>
      <c r="G143" s="3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3"/>
      <c r="B144" s="9"/>
      <c r="C144" s="3"/>
      <c r="D144" s="33"/>
      <c r="E144" s="32"/>
      <c r="F144" s="32"/>
      <c r="G144" s="3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3"/>
      <c r="B145" s="9"/>
      <c r="C145" s="3"/>
      <c r="D145" s="33"/>
      <c r="E145" s="32"/>
      <c r="F145" s="32"/>
      <c r="G145" s="3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3"/>
      <c r="B146" s="9"/>
      <c r="C146" s="3"/>
      <c r="D146" s="33"/>
      <c r="E146" s="32"/>
      <c r="F146" s="32"/>
      <c r="G146" s="3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3"/>
      <c r="B147" s="9"/>
      <c r="C147" s="3"/>
      <c r="D147" s="33"/>
      <c r="E147" s="32"/>
      <c r="F147" s="32"/>
      <c r="G147" s="3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3"/>
      <c r="B148" s="9"/>
      <c r="C148" s="3"/>
      <c r="D148" s="33"/>
      <c r="E148" s="32"/>
      <c r="F148" s="32"/>
      <c r="G148" s="3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3"/>
      <c r="B149" s="9"/>
      <c r="C149" s="3"/>
      <c r="D149" s="33"/>
      <c r="E149" s="32"/>
      <c r="F149" s="32"/>
      <c r="G149" s="3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3"/>
      <c r="B150" s="9"/>
      <c r="C150" s="3"/>
      <c r="D150" s="33"/>
      <c r="E150" s="32"/>
      <c r="F150" s="32"/>
      <c r="G150" s="3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3"/>
      <c r="B151" s="9"/>
      <c r="C151" s="3"/>
      <c r="D151" s="33"/>
      <c r="E151" s="32"/>
      <c r="F151" s="32"/>
      <c r="G151" s="3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3"/>
      <c r="B152" s="9"/>
      <c r="C152" s="3"/>
      <c r="D152" s="33"/>
      <c r="E152" s="32"/>
      <c r="F152" s="32"/>
      <c r="G152" s="3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3"/>
      <c r="B153" s="9"/>
      <c r="C153" s="3"/>
      <c r="D153" s="33"/>
      <c r="E153" s="32"/>
      <c r="F153" s="32"/>
      <c r="G153" s="3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3"/>
      <c r="B154" s="9"/>
      <c r="C154" s="3"/>
      <c r="D154" s="33"/>
      <c r="E154" s="32"/>
      <c r="F154" s="32"/>
      <c r="G154" s="3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3"/>
      <c r="B155" s="9"/>
      <c r="C155" s="3"/>
      <c r="D155" s="33"/>
      <c r="E155" s="32"/>
      <c r="F155" s="32"/>
      <c r="G155" s="3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3"/>
      <c r="B156" s="9"/>
      <c r="C156" s="3"/>
      <c r="D156" s="33"/>
      <c r="E156" s="32"/>
      <c r="F156" s="32"/>
      <c r="G156" s="3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3"/>
      <c r="B157" s="9"/>
      <c r="C157" s="3"/>
      <c r="D157" s="33"/>
      <c r="E157" s="32"/>
      <c r="F157" s="32"/>
      <c r="G157" s="3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3"/>
      <c r="B158" s="9"/>
      <c r="C158" s="3"/>
      <c r="D158" s="33"/>
      <c r="E158" s="32"/>
      <c r="F158" s="32"/>
      <c r="G158" s="3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3"/>
      <c r="B159" s="9"/>
      <c r="C159" s="3"/>
      <c r="D159" s="33"/>
      <c r="E159" s="32"/>
      <c r="F159" s="32"/>
      <c r="G159" s="3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3"/>
      <c r="B160" s="9"/>
      <c r="C160" s="3"/>
      <c r="D160" s="33"/>
      <c r="E160" s="32"/>
      <c r="F160" s="32"/>
      <c r="G160" s="3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3"/>
      <c r="B161" s="9"/>
      <c r="C161" s="3"/>
      <c r="D161" s="33"/>
      <c r="E161" s="32"/>
      <c r="F161" s="32"/>
      <c r="G161" s="3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3"/>
      <c r="B162" s="9"/>
      <c r="C162" s="3"/>
      <c r="D162" s="33"/>
      <c r="E162" s="32"/>
      <c r="F162" s="32"/>
      <c r="G162" s="3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3"/>
      <c r="B163" s="9"/>
      <c r="C163" s="3"/>
      <c r="D163" s="33"/>
      <c r="E163" s="32"/>
      <c r="F163" s="32"/>
      <c r="G163" s="3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3"/>
      <c r="B164" s="9"/>
      <c r="C164" s="3"/>
      <c r="D164" s="33"/>
      <c r="E164" s="32"/>
      <c r="F164" s="32"/>
      <c r="G164" s="3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3"/>
      <c r="B165" s="9"/>
      <c r="C165" s="3"/>
      <c r="D165" s="33"/>
      <c r="E165" s="32"/>
      <c r="F165" s="32"/>
      <c r="G165" s="3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3"/>
      <c r="B166" s="9"/>
      <c r="C166" s="3"/>
      <c r="D166" s="33"/>
      <c r="E166" s="32"/>
      <c r="F166" s="32"/>
      <c r="G166" s="3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3"/>
      <c r="B167" s="9"/>
      <c r="C167" s="3"/>
      <c r="D167" s="33"/>
      <c r="E167" s="32"/>
      <c r="F167" s="32"/>
      <c r="G167" s="3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3"/>
      <c r="B168" s="9"/>
      <c r="C168" s="3"/>
      <c r="D168" s="33"/>
      <c r="E168" s="32"/>
      <c r="F168" s="32"/>
      <c r="G168" s="3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3"/>
      <c r="B169" s="9"/>
      <c r="C169" s="3"/>
      <c r="D169" s="33"/>
      <c r="E169" s="32"/>
      <c r="F169" s="32"/>
      <c r="G169" s="3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3"/>
      <c r="B170" s="9"/>
      <c r="C170" s="3"/>
      <c r="D170" s="33"/>
      <c r="E170" s="32"/>
      <c r="F170" s="32"/>
      <c r="G170" s="3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3"/>
      <c r="B171" s="9"/>
      <c r="C171" s="3"/>
      <c r="D171" s="33"/>
      <c r="E171" s="32"/>
      <c r="F171" s="32"/>
      <c r="G171" s="3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3"/>
      <c r="B172" s="9"/>
      <c r="C172" s="3"/>
      <c r="D172" s="33"/>
      <c r="E172" s="32"/>
      <c r="F172" s="32"/>
      <c r="G172" s="3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3"/>
      <c r="B173" s="9"/>
      <c r="C173" s="3"/>
      <c r="D173" s="33"/>
      <c r="E173" s="32"/>
      <c r="F173" s="32"/>
      <c r="G173" s="3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3"/>
      <c r="B174" s="9"/>
      <c r="C174" s="3"/>
      <c r="D174" s="33"/>
      <c r="E174" s="32"/>
      <c r="F174" s="32"/>
      <c r="G174" s="3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3"/>
      <c r="B175" s="9"/>
      <c r="C175" s="3"/>
      <c r="D175" s="33"/>
      <c r="E175" s="32"/>
      <c r="F175" s="32"/>
      <c r="G175" s="3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3"/>
      <c r="B176" s="9"/>
      <c r="C176" s="3"/>
      <c r="D176" s="33"/>
      <c r="E176" s="32"/>
      <c r="F176" s="32"/>
      <c r="G176" s="3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3"/>
      <c r="B177" s="9"/>
      <c r="C177" s="3"/>
      <c r="D177" s="33"/>
      <c r="E177" s="32"/>
      <c r="F177" s="32"/>
      <c r="G177" s="3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3"/>
      <c r="B178" s="9"/>
      <c r="C178" s="3"/>
      <c r="D178" s="33"/>
      <c r="E178" s="32"/>
      <c r="F178" s="32"/>
      <c r="G178" s="3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3"/>
      <c r="B179" s="9"/>
      <c r="C179" s="3"/>
      <c r="D179" s="33"/>
      <c r="E179" s="32"/>
      <c r="F179" s="32"/>
      <c r="G179" s="3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3"/>
      <c r="B180" s="9"/>
      <c r="C180" s="3"/>
      <c r="D180" s="33"/>
      <c r="E180" s="32"/>
      <c r="F180" s="32"/>
      <c r="G180" s="3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3"/>
      <c r="B181" s="9"/>
      <c r="C181" s="3"/>
      <c r="D181" s="33"/>
      <c r="E181" s="32"/>
      <c r="F181" s="32"/>
      <c r="G181" s="3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3"/>
      <c r="B182" s="9"/>
      <c r="C182" s="3"/>
      <c r="D182" s="33"/>
      <c r="E182" s="32"/>
      <c r="F182" s="32"/>
      <c r="G182" s="3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3"/>
      <c r="B183" s="9"/>
      <c r="C183" s="3"/>
      <c r="D183" s="33"/>
      <c r="E183" s="32"/>
      <c r="F183" s="32"/>
      <c r="G183" s="3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3"/>
      <c r="B184" s="9"/>
      <c r="C184" s="3"/>
      <c r="D184" s="33"/>
      <c r="E184" s="32"/>
      <c r="F184" s="32"/>
      <c r="G184" s="3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3"/>
      <c r="B185" s="9"/>
      <c r="C185" s="3"/>
      <c r="D185" s="33"/>
      <c r="E185" s="32"/>
      <c r="F185" s="32"/>
      <c r="G185" s="3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3"/>
      <c r="B186" s="9"/>
      <c r="C186" s="3"/>
      <c r="D186" s="33"/>
      <c r="E186" s="32"/>
      <c r="F186" s="32"/>
      <c r="G186" s="3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3"/>
      <c r="B187" s="9"/>
      <c r="C187" s="3"/>
      <c r="D187" s="33"/>
      <c r="E187" s="32"/>
      <c r="F187" s="32"/>
      <c r="G187" s="3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3"/>
      <c r="B188" s="9"/>
      <c r="C188" s="3"/>
      <c r="D188" s="33"/>
      <c r="E188" s="32"/>
      <c r="F188" s="32"/>
      <c r="G188" s="3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3"/>
      <c r="B189" s="9"/>
      <c r="C189" s="3"/>
      <c r="D189" s="33"/>
      <c r="E189" s="32"/>
      <c r="F189" s="32"/>
      <c r="G189" s="3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3"/>
      <c r="B190" s="9"/>
      <c r="C190" s="3"/>
      <c r="D190" s="33"/>
      <c r="E190" s="32"/>
      <c r="F190" s="32"/>
      <c r="G190" s="3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3"/>
      <c r="B191" s="9"/>
      <c r="C191" s="3"/>
      <c r="D191" s="33"/>
      <c r="E191" s="32"/>
      <c r="F191" s="32"/>
      <c r="G191" s="3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3"/>
      <c r="B192" s="9"/>
      <c r="C192" s="3"/>
      <c r="D192" s="33"/>
      <c r="E192" s="32"/>
      <c r="F192" s="32"/>
      <c r="G192" s="3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3"/>
      <c r="B193" s="9"/>
      <c r="C193" s="3"/>
      <c r="D193" s="33"/>
      <c r="E193" s="32"/>
      <c r="F193" s="32"/>
      <c r="G193" s="3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3"/>
      <c r="B194" s="9"/>
      <c r="C194" s="3"/>
      <c r="D194" s="33"/>
      <c r="E194" s="32"/>
      <c r="F194" s="32"/>
      <c r="G194" s="3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3"/>
      <c r="B195" s="9"/>
      <c r="C195" s="3"/>
      <c r="D195" s="33"/>
      <c r="E195" s="32"/>
      <c r="F195" s="32"/>
      <c r="G195" s="3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3"/>
      <c r="B196" s="9"/>
      <c r="C196" s="3"/>
      <c r="D196" s="33"/>
      <c r="E196" s="32"/>
      <c r="F196" s="32"/>
      <c r="G196" s="3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3"/>
      <c r="B197" s="9"/>
      <c r="C197" s="3"/>
      <c r="D197" s="33"/>
      <c r="E197" s="32"/>
      <c r="F197" s="32"/>
      <c r="G197" s="3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3"/>
      <c r="B198" s="9"/>
      <c r="C198" s="3"/>
      <c r="D198" s="33"/>
      <c r="E198" s="32"/>
      <c r="F198" s="32"/>
      <c r="G198" s="3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3"/>
      <c r="B199" s="9"/>
      <c r="C199" s="3"/>
      <c r="D199" s="33"/>
      <c r="E199" s="32"/>
      <c r="F199" s="32"/>
      <c r="G199" s="3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3"/>
      <c r="B200" s="9"/>
      <c r="C200" s="3"/>
      <c r="D200" s="33"/>
      <c r="E200" s="32"/>
      <c r="F200" s="32"/>
      <c r="G200" s="3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3"/>
      <c r="B201" s="9"/>
      <c r="C201" s="3"/>
      <c r="D201" s="33"/>
      <c r="E201" s="32"/>
      <c r="F201" s="32"/>
      <c r="G201" s="3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3"/>
      <c r="B202" s="9"/>
      <c r="C202" s="3"/>
      <c r="D202" s="33"/>
      <c r="E202" s="32"/>
      <c r="F202" s="32"/>
      <c r="G202" s="3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3"/>
      <c r="B203" s="9"/>
      <c r="C203" s="3"/>
      <c r="D203" s="33"/>
      <c r="E203" s="32"/>
      <c r="F203" s="32"/>
      <c r="G203" s="3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3"/>
      <c r="B204" s="9"/>
      <c r="C204" s="3"/>
      <c r="D204" s="33"/>
      <c r="E204" s="32"/>
      <c r="F204" s="32"/>
      <c r="G204" s="3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3"/>
      <c r="B205" s="9"/>
      <c r="C205" s="3"/>
      <c r="D205" s="33"/>
      <c r="E205" s="32"/>
      <c r="F205" s="32"/>
      <c r="G205" s="3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3"/>
      <c r="B206" s="9"/>
      <c r="C206" s="3"/>
      <c r="D206" s="33"/>
      <c r="E206" s="32"/>
      <c r="F206" s="32"/>
      <c r="G206" s="3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3"/>
      <c r="B207" s="9"/>
      <c r="C207" s="3"/>
      <c r="D207" s="33"/>
      <c r="E207" s="32"/>
      <c r="F207" s="32"/>
      <c r="G207" s="3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3"/>
      <c r="B208" s="9"/>
      <c r="C208" s="3"/>
      <c r="D208" s="33"/>
      <c r="E208" s="32"/>
      <c r="F208" s="32"/>
      <c r="G208" s="3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3"/>
      <c r="B209" s="9"/>
      <c r="C209" s="3"/>
      <c r="D209" s="33"/>
      <c r="E209" s="32"/>
      <c r="F209" s="32"/>
      <c r="G209" s="3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3"/>
      <c r="B210" s="9"/>
      <c r="C210" s="3"/>
      <c r="D210" s="33"/>
      <c r="E210" s="32"/>
      <c r="F210" s="32"/>
      <c r="G210" s="3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3"/>
      <c r="B211" s="9"/>
      <c r="C211" s="3"/>
      <c r="D211" s="33"/>
      <c r="E211" s="32"/>
      <c r="F211" s="32"/>
      <c r="G211" s="3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3"/>
      <c r="B212" s="9"/>
      <c r="C212" s="3"/>
      <c r="D212" s="33"/>
      <c r="E212" s="32"/>
      <c r="F212" s="32"/>
      <c r="G212" s="3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3"/>
      <c r="B213" s="9"/>
      <c r="C213" s="3"/>
      <c r="D213" s="33"/>
      <c r="E213" s="32"/>
      <c r="F213" s="32"/>
      <c r="G213" s="3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3"/>
      <c r="B214" s="9"/>
      <c r="C214" s="3"/>
      <c r="D214" s="33"/>
      <c r="E214" s="32"/>
      <c r="F214" s="32"/>
      <c r="G214" s="3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3"/>
      <c r="B215" s="9"/>
      <c r="C215" s="3"/>
      <c r="D215" s="33"/>
      <c r="E215" s="32"/>
      <c r="F215" s="32"/>
      <c r="G215" s="3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3"/>
      <c r="B216" s="9"/>
      <c r="C216" s="3"/>
      <c r="D216" s="33"/>
      <c r="E216" s="32"/>
      <c r="F216" s="32"/>
      <c r="G216" s="3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3"/>
      <c r="B217" s="9"/>
      <c r="C217" s="3"/>
      <c r="D217" s="33"/>
      <c r="E217" s="32"/>
      <c r="F217" s="32"/>
      <c r="G217" s="3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3"/>
      <c r="B218" s="9"/>
      <c r="C218" s="3"/>
      <c r="D218" s="33"/>
      <c r="E218" s="32"/>
      <c r="F218" s="32"/>
      <c r="G218" s="3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3"/>
      <c r="B219" s="9"/>
      <c r="C219" s="3"/>
      <c r="D219" s="33"/>
      <c r="E219" s="32"/>
      <c r="F219" s="32"/>
      <c r="G219" s="3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3"/>
      <c r="B220" s="9"/>
      <c r="C220" s="3"/>
      <c r="D220" s="33"/>
      <c r="E220" s="32"/>
      <c r="F220" s="32"/>
      <c r="G220" s="3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3"/>
      <c r="B221" s="9"/>
      <c r="C221" s="3"/>
      <c r="D221" s="33"/>
      <c r="E221" s="32"/>
      <c r="F221" s="32"/>
      <c r="G221" s="3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3"/>
      <c r="B222" s="9"/>
      <c r="C222" s="3"/>
      <c r="D222" s="33"/>
      <c r="E222" s="32"/>
      <c r="F222" s="32"/>
      <c r="G222" s="3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3"/>
      <c r="B223" s="9"/>
      <c r="C223" s="3"/>
      <c r="D223" s="33"/>
      <c r="E223" s="32"/>
      <c r="F223" s="32"/>
      <c r="G223" s="3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3"/>
      <c r="B224" s="9"/>
      <c r="C224" s="3"/>
      <c r="D224" s="33"/>
      <c r="E224" s="32"/>
      <c r="F224" s="32"/>
      <c r="G224" s="3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3"/>
      <c r="B225" s="9"/>
      <c r="C225" s="3"/>
      <c r="D225" s="33"/>
      <c r="E225" s="32"/>
      <c r="F225" s="32"/>
      <c r="G225" s="3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3"/>
      <c r="B226" s="9"/>
      <c r="C226" s="3"/>
      <c r="D226" s="33"/>
      <c r="E226" s="32"/>
      <c r="F226" s="32"/>
      <c r="G226" s="3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3"/>
      <c r="B227" s="9"/>
      <c r="C227" s="3"/>
      <c r="D227" s="33"/>
      <c r="E227" s="32"/>
      <c r="F227" s="32"/>
      <c r="G227" s="3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3"/>
      <c r="B228" s="9"/>
      <c r="C228" s="3"/>
      <c r="D228" s="33"/>
      <c r="E228" s="32"/>
      <c r="F228" s="32"/>
      <c r="G228" s="3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3"/>
      <c r="B229" s="9"/>
      <c r="C229" s="3"/>
      <c r="D229" s="33"/>
      <c r="E229" s="32"/>
      <c r="F229" s="32"/>
      <c r="G229" s="3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3"/>
      <c r="B230" s="9"/>
      <c r="C230" s="3"/>
      <c r="D230" s="33"/>
      <c r="E230" s="32"/>
      <c r="F230" s="32"/>
      <c r="G230" s="3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3"/>
      <c r="B231" s="9"/>
      <c r="C231" s="3"/>
      <c r="D231" s="33"/>
      <c r="E231" s="32"/>
      <c r="F231" s="32"/>
      <c r="G231" s="3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3"/>
      <c r="B232" s="9"/>
      <c r="C232" s="3"/>
      <c r="D232" s="33"/>
      <c r="E232" s="32"/>
      <c r="F232" s="32"/>
      <c r="G232" s="3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3"/>
      <c r="B233" s="9"/>
      <c r="C233" s="3"/>
      <c r="D233" s="33"/>
      <c r="E233" s="32"/>
      <c r="F233" s="32"/>
      <c r="G233" s="3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3"/>
      <c r="B234" s="9"/>
      <c r="C234" s="3"/>
      <c r="D234" s="33"/>
      <c r="E234" s="32"/>
      <c r="F234" s="32"/>
      <c r="G234" s="3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3"/>
      <c r="B235" s="9"/>
      <c r="C235" s="3"/>
      <c r="D235" s="33"/>
      <c r="E235" s="32"/>
      <c r="F235" s="32"/>
      <c r="G235" s="3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3"/>
      <c r="B236" s="9"/>
      <c r="C236" s="3"/>
      <c r="D236" s="33"/>
      <c r="E236" s="32"/>
      <c r="F236" s="32"/>
      <c r="G236" s="3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3"/>
      <c r="B237" s="9"/>
      <c r="C237" s="3"/>
      <c r="D237" s="33"/>
      <c r="E237" s="32"/>
      <c r="F237" s="32"/>
      <c r="G237" s="3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3"/>
      <c r="B238" s="9"/>
      <c r="C238" s="3"/>
      <c r="D238" s="33"/>
      <c r="E238" s="32"/>
      <c r="F238" s="32"/>
      <c r="G238" s="3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3"/>
      <c r="B239" s="9"/>
      <c r="C239" s="3"/>
      <c r="D239" s="33"/>
      <c r="E239" s="32"/>
      <c r="F239" s="32"/>
      <c r="G239" s="3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3"/>
      <c r="B240" s="9"/>
      <c r="C240" s="3"/>
      <c r="D240" s="33"/>
      <c r="E240" s="32"/>
      <c r="F240" s="32"/>
      <c r="G240" s="3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3"/>
      <c r="B241" s="9"/>
      <c r="C241" s="3"/>
      <c r="D241" s="33"/>
      <c r="E241" s="32"/>
      <c r="F241" s="32"/>
      <c r="G241" s="3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3"/>
      <c r="B242" s="9"/>
      <c r="C242" s="3"/>
      <c r="D242" s="33"/>
      <c r="E242" s="32"/>
      <c r="F242" s="32"/>
      <c r="G242" s="3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3"/>
      <c r="B243" s="9"/>
      <c r="C243" s="3"/>
      <c r="D243" s="33"/>
      <c r="E243" s="32"/>
      <c r="F243" s="32"/>
      <c r="G243" s="3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3"/>
      <c r="B244" s="9"/>
      <c r="C244" s="3"/>
      <c r="D244" s="33"/>
      <c r="E244" s="32"/>
      <c r="F244" s="32"/>
      <c r="G244" s="3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3"/>
      <c r="B245" s="9"/>
      <c r="C245" s="3"/>
      <c r="D245" s="33"/>
      <c r="E245" s="32"/>
      <c r="F245" s="32"/>
      <c r="G245" s="3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3"/>
      <c r="B246" s="9"/>
      <c r="C246" s="3"/>
      <c r="D246" s="33"/>
      <c r="E246" s="32"/>
      <c r="F246" s="32"/>
      <c r="G246" s="3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3"/>
      <c r="B247" s="9"/>
      <c r="C247" s="3"/>
      <c r="D247" s="33"/>
      <c r="E247" s="32"/>
      <c r="F247" s="32"/>
      <c r="G247" s="3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3"/>
      <c r="B248" s="9"/>
      <c r="C248" s="3"/>
      <c r="D248" s="33"/>
      <c r="E248" s="32"/>
      <c r="F248" s="32"/>
      <c r="G248" s="3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3"/>
      <c r="B249" s="9"/>
      <c r="C249" s="3"/>
      <c r="D249" s="33"/>
      <c r="E249" s="32"/>
      <c r="F249" s="32"/>
      <c r="G249" s="3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3"/>
      <c r="B250" s="9"/>
      <c r="C250" s="3"/>
      <c r="D250" s="33"/>
      <c r="E250" s="32"/>
      <c r="F250" s="32"/>
      <c r="G250" s="3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3"/>
      <c r="B251" s="9"/>
      <c r="C251" s="3"/>
      <c r="D251" s="33"/>
      <c r="E251" s="32"/>
      <c r="F251" s="32"/>
      <c r="G251" s="3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3"/>
      <c r="B252" s="9"/>
      <c r="C252" s="3"/>
      <c r="D252" s="33"/>
      <c r="E252" s="32"/>
      <c r="F252" s="32"/>
      <c r="G252" s="3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3"/>
      <c r="B253" s="9"/>
      <c r="C253" s="3"/>
      <c r="D253" s="33"/>
      <c r="E253" s="32"/>
      <c r="F253" s="32"/>
      <c r="G253" s="3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3"/>
      <c r="B254" s="9"/>
      <c r="C254" s="3"/>
      <c r="D254" s="33"/>
      <c r="E254" s="32"/>
      <c r="F254" s="32"/>
      <c r="G254" s="3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3"/>
      <c r="B255" s="9"/>
      <c r="C255" s="3"/>
      <c r="D255" s="33"/>
      <c r="E255" s="32"/>
      <c r="F255" s="32"/>
      <c r="G255" s="3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3"/>
      <c r="B256" s="9"/>
      <c r="C256" s="3"/>
      <c r="D256" s="33"/>
      <c r="E256" s="32"/>
      <c r="F256" s="32"/>
      <c r="G256" s="3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3"/>
      <c r="B257" s="9"/>
      <c r="C257" s="3"/>
      <c r="D257" s="33"/>
      <c r="E257" s="32"/>
      <c r="F257" s="32"/>
      <c r="G257" s="3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3"/>
      <c r="B258" s="9"/>
      <c r="C258" s="3"/>
      <c r="D258" s="33"/>
      <c r="E258" s="32"/>
      <c r="F258" s="32"/>
      <c r="G258" s="3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3"/>
      <c r="B259" s="9"/>
      <c r="C259" s="3"/>
      <c r="D259" s="33"/>
      <c r="E259" s="32"/>
      <c r="F259" s="32"/>
      <c r="G259" s="3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3"/>
      <c r="B260" s="9"/>
      <c r="C260" s="3"/>
      <c r="D260" s="33"/>
      <c r="E260" s="32"/>
      <c r="F260" s="32"/>
      <c r="G260" s="3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3"/>
      <c r="B261" s="9"/>
      <c r="C261" s="3"/>
      <c r="D261" s="33"/>
      <c r="E261" s="32"/>
      <c r="F261" s="32"/>
      <c r="G261" s="3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3"/>
      <c r="B262" s="9"/>
      <c r="C262" s="3"/>
      <c r="D262" s="33"/>
      <c r="E262" s="32"/>
      <c r="F262" s="32"/>
      <c r="G262" s="3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3"/>
      <c r="B263" s="9"/>
      <c r="C263" s="3"/>
      <c r="D263" s="33"/>
      <c r="E263" s="32"/>
      <c r="F263" s="32"/>
      <c r="G263" s="3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3"/>
      <c r="B264" s="9"/>
      <c r="C264" s="3"/>
      <c r="D264" s="33"/>
      <c r="E264" s="32"/>
      <c r="F264" s="32"/>
      <c r="G264" s="3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3"/>
      <c r="B265" s="9"/>
      <c r="C265" s="3"/>
      <c r="D265" s="33"/>
      <c r="E265" s="32"/>
      <c r="F265" s="32"/>
      <c r="G265" s="3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3"/>
      <c r="B266" s="9"/>
      <c r="C266" s="3"/>
      <c r="D266" s="33"/>
      <c r="E266" s="32"/>
      <c r="F266" s="32"/>
      <c r="G266" s="3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3"/>
      <c r="B267" s="9"/>
      <c r="C267" s="3"/>
      <c r="D267" s="33"/>
      <c r="E267" s="32"/>
      <c r="F267" s="32"/>
      <c r="G267" s="3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3"/>
      <c r="B268" s="9"/>
      <c r="C268" s="3"/>
      <c r="D268" s="33"/>
      <c r="E268" s="32"/>
      <c r="F268" s="32"/>
      <c r="G268" s="3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3"/>
      <c r="B269" s="9"/>
      <c r="C269" s="3"/>
      <c r="D269" s="33"/>
      <c r="E269" s="32"/>
      <c r="F269" s="32"/>
      <c r="G269" s="3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3"/>
      <c r="B270" s="9"/>
      <c r="C270" s="3"/>
      <c r="D270" s="33"/>
      <c r="E270" s="32"/>
      <c r="F270" s="32"/>
      <c r="G270" s="3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3"/>
      <c r="B271" s="9"/>
      <c r="C271" s="3"/>
      <c r="D271" s="33"/>
      <c r="E271" s="32"/>
      <c r="F271" s="32"/>
      <c r="G271" s="3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3"/>
      <c r="B272" s="9"/>
      <c r="C272" s="3"/>
      <c r="D272" s="33"/>
      <c r="E272" s="32"/>
      <c r="F272" s="32"/>
      <c r="G272" s="3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3"/>
      <c r="B273" s="9"/>
      <c r="C273" s="3"/>
      <c r="D273" s="33"/>
      <c r="E273" s="32"/>
      <c r="F273" s="32"/>
      <c r="G273" s="3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3"/>
      <c r="B274" s="9"/>
      <c r="C274" s="3"/>
      <c r="D274" s="33"/>
      <c r="E274" s="32"/>
      <c r="F274" s="32"/>
      <c r="G274" s="3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3"/>
      <c r="B275" s="9"/>
      <c r="C275" s="3"/>
      <c r="D275" s="33"/>
      <c r="E275" s="32"/>
      <c r="F275" s="32"/>
      <c r="G275" s="3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3"/>
      <c r="B276" s="9"/>
      <c r="C276" s="3"/>
      <c r="D276" s="33"/>
      <c r="E276" s="32"/>
      <c r="F276" s="32"/>
      <c r="G276" s="3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3"/>
      <c r="B277" s="9"/>
      <c r="C277" s="3"/>
      <c r="D277" s="33"/>
      <c r="E277" s="32"/>
      <c r="F277" s="32"/>
      <c r="G277" s="3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3"/>
      <c r="B278" s="9"/>
      <c r="C278" s="3"/>
      <c r="D278" s="33"/>
      <c r="E278" s="32"/>
      <c r="F278" s="32"/>
      <c r="G278" s="3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3"/>
      <c r="B279" s="9"/>
      <c r="C279" s="3"/>
      <c r="D279" s="33"/>
      <c r="E279" s="32"/>
      <c r="F279" s="32"/>
      <c r="G279" s="3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3"/>
      <c r="B280" s="9"/>
      <c r="C280" s="3"/>
      <c r="D280" s="33"/>
      <c r="E280" s="32"/>
      <c r="F280" s="32"/>
      <c r="G280" s="3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3"/>
      <c r="B281" s="9"/>
      <c r="C281" s="3"/>
      <c r="D281" s="33"/>
      <c r="E281" s="32"/>
      <c r="F281" s="32"/>
      <c r="G281" s="3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3"/>
      <c r="B282" s="9"/>
      <c r="C282" s="3"/>
      <c r="D282" s="33"/>
      <c r="E282" s="32"/>
      <c r="F282" s="32"/>
      <c r="G282" s="3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3"/>
      <c r="B283" s="9"/>
      <c r="C283" s="3"/>
      <c r="D283" s="33"/>
      <c r="E283" s="32"/>
      <c r="F283" s="32"/>
      <c r="G283" s="3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3"/>
      <c r="B284" s="9"/>
      <c r="C284" s="3"/>
      <c r="D284" s="33"/>
      <c r="E284" s="32"/>
      <c r="F284" s="32"/>
      <c r="G284" s="3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3"/>
      <c r="B285" s="9"/>
      <c r="C285" s="3"/>
      <c r="D285" s="33"/>
      <c r="E285" s="32"/>
      <c r="F285" s="32"/>
      <c r="G285" s="3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3"/>
      <c r="B286" s="9"/>
      <c r="C286" s="3"/>
      <c r="D286" s="33"/>
      <c r="E286" s="32"/>
      <c r="F286" s="32"/>
      <c r="G286" s="3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3"/>
      <c r="B287" s="9"/>
      <c r="C287" s="3"/>
      <c r="D287" s="33"/>
      <c r="E287" s="32"/>
      <c r="F287" s="32"/>
      <c r="G287" s="3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3"/>
      <c r="B288" s="9"/>
      <c r="C288" s="3"/>
      <c r="D288" s="33"/>
      <c r="E288" s="32"/>
      <c r="F288" s="32"/>
      <c r="G288" s="3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3"/>
      <c r="B289" s="9"/>
      <c r="C289" s="3"/>
      <c r="D289" s="33"/>
      <c r="E289" s="32"/>
      <c r="F289" s="32"/>
      <c r="G289" s="3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3"/>
      <c r="B290" s="9"/>
      <c r="C290" s="3"/>
      <c r="D290" s="33"/>
      <c r="E290" s="32"/>
      <c r="F290" s="32"/>
      <c r="G290" s="3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3"/>
      <c r="B291" s="9"/>
      <c r="C291" s="3"/>
      <c r="D291" s="33"/>
      <c r="E291" s="32"/>
      <c r="F291" s="32"/>
      <c r="G291" s="3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3"/>
      <c r="B292" s="9"/>
      <c r="C292" s="3"/>
      <c r="D292" s="33"/>
      <c r="E292" s="32"/>
      <c r="F292" s="32"/>
      <c r="G292" s="3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3"/>
      <c r="B293" s="9"/>
      <c r="C293" s="3"/>
      <c r="D293" s="33"/>
      <c r="E293" s="32"/>
      <c r="F293" s="32"/>
      <c r="G293" s="3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3"/>
      <c r="B294" s="9"/>
      <c r="C294" s="3"/>
      <c r="D294" s="33"/>
      <c r="E294" s="32"/>
      <c r="F294" s="32"/>
      <c r="G294" s="3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3"/>
      <c r="B295" s="9"/>
      <c r="C295" s="3"/>
      <c r="D295" s="33"/>
      <c r="E295" s="32"/>
      <c r="F295" s="32"/>
      <c r="G295" s="3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3"/>
      <c r="B296" s="9"/>
      <c r="C296" s="3"/>
      <c r="D296" s="33"/>
      <c r="E296" s="32"/>
      <c r="F296" s="32"/>
      <c r="G296" s="3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3"/>
      <c r="B297" s="9"/>
      <c r="C297" s="3"/>
      <c r="D297" s="33"/>
      <c r="E297" s="32"/>
      <c r="F297" s="32"/>
      <c r="G297" s="3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3"/>
      <c r="B298" s="9"/>
      <c r="C298" s="3"/>
      <c r="D298" s="33"/>
      <c r="E298" s="32"/>
      <c r="F298" s="32"/>
      <c r="G298" s="3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3"/>
      <c r="B299" s="9"/>
      <c r="C299" s="3"/>
      <c r="D299" s="33"/>
      <c r="E299" s="32"/>
      <c r="F299" s="32"/>
      <c r="G299" s="3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3"/>
      <c r="B300" s="9"/>
      <c r="C300" s="3"/>
      <c r="D300" s="33"/>
      <c r="E300" s="32"/>
      <c r="F300" s="32"/>
      <c r="G300" s="3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3"/>
      <c r="B301" s="9"/>
      <c r="C301" s="3"/>
      <c r="D301" s="33"/>
      <c r="E301" s="32"/>
      <c r="F301" s="32"/>
      <c r="G301" s="3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3"/>
      <c r="B302" s="9"/>
      <c r="C302" s="3"/>
      <c r="D302" s="33"/>
      <c r="E302" s="32"/>
      <c r="F302" s="32"/>
      <c r="G302" s="3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3"/>
      <c r="B303" s="9"/>
      <c r="C303" s="3"/>
      <c r="D303" s="33"/>
      <c r="E303" s="32"/>
      <c r="F303" s="32"/>
      <c r="G303" s="3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3"/>
      <c r="B304" s="9"/>
      <c r="C304" s="3"/>
      <c r="D304" s="33"/>
      <c r="E304" s="32"/>
      <c r="F304" s="32"/>
      <c r="G304" s="3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3"/>
      <c r="B305" s="9"/>
      <c r="C305" s="3"/>
      <c r="D305" s="33"/>
      <c r="E305" s="32"/>
      <c r="F305" s="32"/>
      <c r="G305" s="3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3"/>
      <c r="B306" s="9"/>
      <c r="C306" s="3"/>
      <c r="D306" s="33"/>
      <c r="E306" s="32"/>
      <c r="F306" s="32"/>
      <c r="G306" s="3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3"/>
      <c r="B307" s="9"/>
      <c r="C307" s="3"/>
      <c r="D307" s="33"/>
      <c r="E307" s="32"/>
      <c r="F307" s="32"/>
      <c r="G307" s="3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3"/>
      <c r="B308" s="9"/>
      <c r="C308" s="3"/>
      <c r="D308" s="33"/>
      <c r="E308" s="32"/>
      <c r="F308" s="32"/>
      <c r="G308" s="3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3"/>
      <c r="B309" s="9"/>
      <c r="C309" s="3"/>
      <c r="D309" s="33"/>
      <c r="E309" s="32"/>
      <c r="F309" s="32"/>
      <c r="G309" s="3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3"/>
      <c r="B310" s="9"/>
      <c r="C310" s="3"/>
      <c r="D310" s="33"/>
      <c r="E310" s="32"/>
      <c r="F310" s="32"/>
      <c r="G310" s="3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3"/>
      <c r="B311" s="9"/>
      <c r="C311" s="3"/>
      <c r="D311" s="33"/>
      <c r="E311" s="32"/>
      <c r="F311" s="32"/>
      <c r="G311" s="3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3"/>
      <c r="B312" s="9"/>
      <c r="C312" s="3"/>
      <c r="D312" s="33"/>
      <c r="E312" s="32"/>
      <c r="F312" s="32"/>
      <c r="G312" s="3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3"/>
      <c r="B313" s="9"/>
      <c r="C313" s="3"/>
      <c r="D313" s="33"/>
      <c r="E313" s="32"/>
      <c r="F313" s="32"/>
      <c r="G313" s="3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3"/>
      <c r="B314" s="9"/>
      <c r="C314" s="3"/>
      <c r="D314" s="33"/>
      <c r="E314" s="32"/>
      <c r="F314" s="32"/>
      <c r="G314" s="3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3"/>
      <c r="B315" s="9"/>
      <c r="C315" s="3"/>
      <c r="D315" s="33"/>
      <c r="E315" s="32"/>
      <c r="F315" s="32"/>
      <c r="G315" s="3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3"/>
      <c r="B316" s="9"/>
      <c r="C316" s="3"/>
      <c r="D316" s="33"/>
      <c r="E316" s="32"/>
      <c r="F316" s="32"/>
      <c r="G316" s="3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3"/>
      <c r="B317" s="9"/>
      <c r="C317" s="3"/>
      <c r="D317" s="33"/>
      <c r="E317" s="32"/>
      <c r="F317" s="32"/>
      <c r="G317" s="3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3"/>
      <c r="B318" s="9"/>
      <c r="C318" s="3"/>
      <c r="D318" s="33"/>
      <c r="E318" s="32"/>
      <c r="F318" s="32"/>
      <c r="G318" s="3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3"/>
      <c r="B319" s="9"/>
      <c r="C319" s="3"/>
      <c r="D319" s="33"/>
      <c r="E319" s="32"/>
      <c r="F319" s="32"/>
      <c r="G319" s="3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3"/>
      <c r="B320" s="9"/>
      <c r="C320" s="3"/>
      <c r="D320" s="33"/>
      <c r="E320" s="32"/>
      <c r="F320" s="32"/>
      <c r="G320" s="3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3"/>
      <c r="B321" s="9"/>
      <c r="C321" s="3"/>
      <c r="D321" s="33"/>
      <c r="E321" s="32"/>
      <c r="F321" s="32"/>
      <c r="G321" s="3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3"/>
      <c r="B322" s="9"/>
      <c r="C322" s="3"/>
      <c r="D322" s="33"/>
      <c r="E322" s="32"/>
      <c r="F322" s="32"/>
      <c r="G322" s="3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3"/>
      <c r="B323" s="9"/>
      <c r="C323" s="3"/>
      <c r="D323" s="33"/>
      <c r="E323" s="32"/>
      <c r="F323" s="32"/>
      <c r="G323" s="3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3"/>
      <c r="B324" s="9"/>
      <c r="C324" s="3"/>
      <c r="D324" s="33"/>
      <c r="E324" s="32"/>
      <c r="F324" s="32"/>
      <c r="G324" s="3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3"/>
      <c r="B325" s="9"/>
      <c r="C325" s="3"/>
      <c r="D325" s="33"/>
      <c r="E325" s="32"/>
      <c r="F325" s="32"/>
      <c r="G325" s="3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3"/>
      <c r="B326" s="9"/>
      <c r="C326" s="3"/>
      <c r="D326" s="33"/>
      <c r="E326" s="32"/>
      <c r="F326" s="32"/>
      <c r="G326" s="3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3"/>
      <c r="B327" s="9"/>
      <c r="C327" s="3"/>
      <c r="D327" s="33"/>
      <c r="E327" s="32"/>
      <c r="F327" s="32"/>
      <c r="G327" s="3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3"/>
      <c r="B328" s="9"/>
      <c r="C328" s="3"/>
      <c r="D328" s="33"/>
      <c r="E328" s="32"/>
      <c r="F328" s="32"/>
      <c r="G328" s="3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3"/>
      <c r="B329" s="9"/>
      <c r="C329" s="3"/>
      <c r="D329" s="33"/>
      <c r="E329" s="32"/>
      <c r="F329" s="32"/>
      <c r="G329" s="3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3"/>
      <c r="B330" s="9"/>
      <c r="C330" s="3"/>
      <c r="D330" s="33"/>
      <c r="E330" s="32"/>
      <c r="F330" s="32"/>
      <c r="G330" s="3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3"/>
      <c r="B331" s="9"/>
      <c r="C331" s="3"/>
      <c r="D331" s="33"/>
      <c r="E331" s="32"/>
      <c r="F331" s="32"/>
      <c r="G331" s="3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3"/>
      <c r="B332" s="9"/>
      <c r="C332" s="3"/>
      <c r="D332" s="33"/>
      <c r="E332" s="32"/>
      <c r="F332" s="32"/>
      <c r="G332" s="3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3"/>
      <c r="B333" s="9"/>
      <c r="C333" s="3"/>
      <c r="D333" s="33"/>
      <c r="E333" s="32"/>
      <c r="F333" s="32"/>
      <c r="G333" s="3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3"/>
      <c r="B334" s="9"/>
      <c r="C334" s="3"/>
      <c r="D334" s="33"/>
      <c r="E334" s="32"/>
      <c r="F334" s="32"/>
      <c r="G334" s="3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3"/>
      <c r="B335" s="9"/>
      <c r="C335" s="3"/>
      <c r="D335" s="33"/>
      <c r="E335" s="32"/>
      <c r="F335" s="32"/>
      <c r="G335" s="3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3"/>
      <c r="B336" s="9"/>
      <c r="C336" s="3"/>
      <c r="D336" s="33"/>
      <c r="E336" s="32"/>
      <c r="F336" s="32"/>
      <c r="G336" s="3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3"/>
      <c r="B337" s="9"/>
      <c r="C337" s="3"/>
      <c r="D337" s="33"/>
      <c r="E337" s="32"/>
      <c r="F337" s="32"/>
      <c r="G337" s="3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3"/>
      <c r="B338" s="9"/>
      <c r="C338" s="3"/>
      <c r="D338" s="33"/>
      <c r="E338" s="32"/>
      <c r="F338" s="32"/>
      <c r="G338" s="3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3"/>
      <c r="B339" s="9"/>
      <c r="C339" s="3"/>
      <c r="D339" s="33"/>
      <c r="E339" s="32"/>
      <c r="F339" s="32"/>
      <c r="G339" s="3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3"/>
      <c r="B340" s="9"/>
      <c r="C340" s="3"/>
      <c r="D340" s="33"/>
      <c r="E340" s="32"/>
      <c r="F340" s="32"/>
      <c r="G340" s="3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3"/>
      <c r="B341" s="9"/>
      <c r="C341" s="3"/>
      <c r="D341" s="33"/>
      <c r="E341" s="32"/>
      <c r="F341" s="32"/>
      <c r="G341" s="3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3"/>
      <c r="B342" s="9"/>
      <c r="C342" s="3"/>
      <c r="D342" s="33"/>
      <c r="E342" s="32"/>
      <c r="F342" s="32"/>
      <c r="G342" s="3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3"/>
      <c r="B343" s="9"/>
      <c r="C343" s="3"/>
      <c r="D343" s="33"/>
      <c r="E343" s="32"/>
      <c r="F343" s="32"/>
      <c r="G343" s="3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3"/>
      <c r="B344" s="9"/>
      <c r="C344" s="3"/>
      <c r="D344" s="33"/>
      <c r="E344" s="32"/>
      <c r="F344" s="32"/>
      <c r="G344" s="3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3"/>
      <c r="B345" s="9"/>
      <c r="C345" s="3"/>
      <c r="D345" s="33"/>
      <c r="E345" s="32"/>
      <c r="F345" s="32"/>
      <c r="G345" s="3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3"/>
      <c r="B346" s="9"/>
      <c r="C346" s="3"/>
      <c r="D346" s="33"/>
      <c r="E346" s="32"/>
      <c r="F346" s="32"/>
      <c r="G346" s="3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3"/>
      <c r="B347" s="9"/>
      <c r="C347" s="3"/>
      <c r="D347" s="33"/>
      <c r="E347" s="32"/>
      <c r="F347" s="32"/>
      <c r="G347" s="3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3"/>
      <c r="B348" s="9"/>
      <c r="C348" s="3"/>
      <c r="D348" s="33"/>
      <c r="E348" s="32"/>
      <c r="F348" s="32"/>
      <c r="G348" s="3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3"/>
      <c r="B349" s="9"/>
      <c r="C349" s="3"/>
      <c r="D349" s="33"/>
      <c r="E349" s="32"/>
      <c r="F349" s="32"/>
      <c r="G349" s="3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3"/>
      <c r="B350" s="9"/>
      <c r="C350" s="3"/>
      <c r="D350" s="33"/>
      <c r="E350" s="32"/>
      <c r="F350" s="32"/>
      <c r="G350" s="3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3"/>
      <c r="B351" s="9"/>
      <c r="C351" s="3"/>
      <c r="D351" s="33"/>
      <c r="E351" s="32"/>
      <c r="F351" s="32"/>
      <c r="G351" s="3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3"/>
      <c r="B352" s="9"/>
      <c r="C352" s="3"/>
      <c r="D352" s="33"/>
      <c r="E352" s="32"/>
      <c r="F352" s="32"/>
      <c r="G352" s="3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3"/>
      <c r="B353" s="9"/>
      <c r="C353" s="3"/>
      <c r="D353" s="33"/>
      <c r="E353" s="32"/>
      <c r="F353" s="32"/>
      <c r="G353" s="3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3"/>
      <c r="B354" s="9"/>
      <c r="C354" s="3"/>
      <c r="D354" s="33"/>
      <c r="E354" s="32"/>
      <c r="F354" s="32"/>
      <c r="G354" s="3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3"/>
      <c r="B355" s="9"/>
      <c r="C355" s="3"/>
      <c r="D355" s="33"/>
      <c r="E355" s="32"/>
      <c r="F355" s="32"/>
      <c r="G355" s="3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3"/>
      <c r="B356" s="9"/>
      <c r="C356" s="3"/>
      <c r="D356" s="33"/>
      <c r="E356" s="32"/>
      <c r="F356" s="32"/>
      <c r="G356" s="3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3"/>
      <c r="B357" s="9"/>
      <c r="C357" s="3"/>
      <c r="D357" s="33"/>
      <c r="E357" s="32"/>
      <c r="F357" s="32"/>
      <c r="G357" s="3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3"/>
      <c r="B358" s="9"/>
      <c r="C358" s="3"/>
      <c r="D358" s="33"/>
      <c r="E358" s="32"/>
      <c r="F358" s="32"/>
      <c r="G358" s="3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3"/>
      <c r="B359" s="9"/>
      <c r="C359" s="3"/>
      <c r="D359" s="33"/>
      <c r="E359" s="32"/>
      <c r="F359" s="32"/>
      <c r="G359" s="3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3"/>
      <c r="B360" s="9"/>
      <c r="C360" s="3"/>
      <c r="D360" s="33"/>
      <c r="E360" s="32"/>
      <c r="F360" s="32"/>
      <c r="G360" s="3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3"/>
      <c r="B361" s="9"/>
      <c r="C361" s="3"/>
      <c r="D361" s="33"/>
      <c r="E361" s="32"/>
      <c r="F361" s="32"/>
      <c r="G361" s="3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3"/>
      <c r="B362" s="9"/>
      <c r="C362" s="3"/>
      <c r="D362" s="33"/>
      <c r="E362" s="32"/>
      <c r="F362" s="32"/>
      <c r="G362" s="3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3"/>
      <c r="B363" s="9"/>
      <c r="C363" s="3"/>
      <c r="D363" s="33"/>
      <c r="E363" s="32"/>
      <c r="F363" s="32"/>
      <c r="G363" s="3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3"/>
      <c r="B364" s="9"/>
      <c r="C364" s="3"/>
      <c r="D364" s="33"/>
      <c r="E364" s="32"/>
      <c r="F364" s="32"/>
      <c r="G364" s="3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3"/>
      <c r="B365" s="9"/>
      <c r="C365" s="3"/>
      <c r="D365" s="33"/>
      <c r="E365" s="32"/>
      <c r="F365" s="32"/>
      <c r="G365" s="3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3"/>
      <c r="B366" s="9"/>
      <c r="C366" s="3"/>
      <c r="D366" s="33"/>
      <c r="E366" s="32"/>
      <c r="F366" s="32"/>
      <c r="G366" s="3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3"/>
      <c r="B367" s="9"/>
      <c r="C367" s="3"/>
      <c r="D367" s="33"/>
      <c r="E367" s="32"/>
      <c r="F367" s="32"/>
      <c r="G367" s="3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3"/>
      <c r="B368" s="9"/>
      <c r="C368" s="3"/>
      <c r="D368" s="33"/>
      <c r="E368" s="32"/>
      <c r="F368" s="32"/>
      <c r="G368" s="3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3"/>
      <c r="B369" s="9"/>
      <c r="C369" s="3"/>
      <c r="D369" s="33"/>
      <c r="E369" s="32"/>
      <c r="F369" s="32"/>
      <c r="G369" s="3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3"/>
      <c r="B370" s="9"/>
      <c r="C370" s="3"/>
      <c r="D370" s="33"/>
      <c r="E370" s="32"/>
      <c r="F370" s="32"/>
      <c r="G370" s="3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3"/>
      <c r="B371" s="9"/>
      <c r="C371" s="3"/>
      <c r="D371" s="33"/>
      <c r="E371" s="32"/>
      <c r="F371" s="32"/>
      <c r="G371" s="3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3"/>
      <c r="B372" s="9"/>
      <c r="C372" s="3"/>
      <c r="D372" s="33"/>
      <c r="E372" s="32"/>
      <c r="F372" s="32"/>
      <c r="G372" s="3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3"/>
      <c r="B373" s="9"/>
      <c r="C373" s="3"/>
      <c r="D373" s="33"/>
      <c r="E373" s="32"/>
      <c r="F373" s="32"/>
      <c r="G373" s="3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3"/>
      <c r="B374" s="9"/>
      <c r="C374" s="3"/>
      <c r="D374" s="33"/>
      <c r="E374" s="32"/>
      <c r="F374" s="32"/>
      <c r="G374" s="3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3"/>
      <c r="B375" s="9"/>
      <c r="C375" s="3"/>
      <c r="D375" s="33"/>
      <c r="E375" s="32"/>
      <c r="F375" s="32"/>
      <c r="G375" s="3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3"/>
      <c r="B376" s="9"/>
      <c r="C376" s="3"/>
      <c r="D376" s="33"/>
      <c r="E376" s="32"/>
      <c r="F376" s="32"/>
      <c r="G376" s="3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3"/>
      <c r="B377" s="9"/>
      <c r="C377" s="3"/>
      <c r="D377" s="33"/>
      <c r="E377" s="32"/>
      <c r="F377" s="32"/>
      <c r="G377" s="3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3"/>
      <c r="B378" s="9"/>
      <c r="C378" s="3"/>
      <c r="D378" s="33"/>
      <c r="E378" s="32"/>
      <c r="F378" s="32"/>
      <c r="G378" s="3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3"/>
      <c r="B379" s="9"/>
      <c r="C379" s="3"/>
      <c r="D379" s="33"/>
      <c r="E379" s="32"/>
      <c r="F379" s="32"/>
      <c r="G379" s="3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3"/>
      <c r="B380" s="9"/>
      <c r="C380" s="3"/>
      <c r="D380" s="33"/>
      <c r="E380" s="32"/>
      <c r="F380" s="32"/>
      <c r="G380" s="3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3"/>
      <c r="B381" s="9"/>
      <c r="C381" s="3"/>
      <c r="D381" s="33"/>
      <c r="E381" s="32"/>
      <c r="F381" s="32"/>
      <c r="G381" s="3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3"/>
      <c r="B382" s="9"/>
      <c r="C382" s="3"/>
      <c r="D382" s="33"/>
      <c r="E382" s="32"/>
      <c r="F382" s="32"/>
      <c r="G382" s="3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3"/>
      <c r="B383" s="9"/>
      <c r="C383" s="3"/>
      <c r="D383" s="33"/>
      <c r="E383" s="32"/>
      <c r="F383" s="32"/>
      <c r="G383" s="3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3"/>
      <c r="B384" s="9"/>
      <c r="C384" s="3"/>
      <c r="D384" s="33"/>
      <c r="E384" s="32"/>
      <c r="F384" s="32"/>
      <c r="G384" s="3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3"/>
      <c r="B385" s="9"/>
      <c r="C385" s="3"/>
      <c r="D385" s="33"/>
      <c r="E385" s="32"/>
      <c r="F385" s="32"/>
      <c r="G385" s="3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3"/>
      <c r="B386" s="9"/>
      <c r="C386" s="3"/>
      <c r="D386" s="33"/>
      <c r="E386" s="32"/>
      <c r="F386" s="32"/>
      <c r="G386" s="3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3"/>
      <c r="B387" s="9"/>
      <c r="C387" s="3"/>
      <c r="D387" s="33"/>
      <c r="E387" s="32"/>
      <c r="F387" s="32"/>
      <c r="G387" s="3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3"/>
      <c r="B388" s="9"/>
      <c r="C388" s="3"/>
      <c r="D388" s="33"/>
      <c r="E388" s="32"/>
      <c r="F388" s="32"/>
      <c r="G388" s="3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3"/>
      <c r="B389" s="9"/>
      <c r="C389" s="3"/>
      <c r="D389" s="33"/>
      <c r="E389" s="32"/>
      <c r="F389" s="32"/>
      <c r="G389" s="3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3"/>
      <c r="B390" s="9"/>
      <c r="C390" s="3"/>
      <c r="D390" s="33"/>
      <c r="E390" s="32"/>
      <c r="F390" s="32"/>
      <c r="G390" s="3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3"/>
      <c r="B391" s="9"/>
      <c r="C391" s="3"/>
      <c r="D391" s="33"/>
      <c r="E391" s="32"/>
      <c r="F391" s="32"/>
      <c r="G391" s="3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3"/>
      <c r="B392" s="9"/>
      <c r="C392" s="3"/>
      <c r="D392" s="33"/>
      <c r="E392" s="32"/>
      <c r="F392" s="32"/>
      <c r="G392" s="3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3"/>
      <c r="B393" s="9"/>
      <c r="C393" s="3"/>
      <c r="D393" s="33"/>
      <c r="E393" s="32"/>
      <c r="F393" s="32"/>
      <c r="G393" s="3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3"/>
      <c r="B394" s="9"/>
      <c r="C394" s="3"/>
      <c r="D394" s="33"/>
      <c r="E394" s="32"/>
      <c r="F394" s="32"/>
      <c r="G394" s="3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3"/>
      <c r="B395" s="9"/>
      <c r="C395" s="3"/>
      <c r="D395" s="33"/>
      <c r="E395" s="32"/>
      <c r="F395" s="32"/>
      <c r="G395" s="3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3"/>
      <c r="B396" s="9"/>
      <c r="C396" s="3"/>
      <c r="D396" s="33"/>
      <c r="E396" s="32"/>
      <c r="F396" s="32"/>
      <c r="G396" s="3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3"/>
      <c r="B397" s="9"/>
      <c r="C397" s="3"/>
      <c r="D397" s="33"/>
      <c r="E397" s="32"/>
      <c r="F397" s="32"/>
      <c r="G397" s="3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3"/>
      <c r="B398" s="9"/>
      <c r="C398" s="3"/>
      <c r="D398" s="33"/>
      <c r="E398" s="32"/>
      <c r="F398" s="32"/>
      <c r="G398" s="3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3"/>
      <c r="B399" s="9"/>
      <c r="C399" s="3"/>
      <c r="D399" s="33"/>
      <c r="E399" s="32"/>
      <c r="F399" s="32"/>
      <c r="G399" s="3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3"/>
      <c r="B400" s="9"/>
      <c r="C400" s="3"/>
      <c r="D400" s="33"/>
      <c r="E400" s="32"/>
      <c r="F400" s="32"/>
      <c r="G400" s="3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3"/>
      <c r="B401" s="9"/>
      <c r="C401" s="3"/>
      <c r="D401" s="33"/>
      <c r="E401" s="32"/>
      <c r="F401" s="32"/>
      <c r="G401" s="3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3"/>
      <c r="B402" s="9"/>
      <c r="C402" s="3"/>
      <c r="D402" s="33"/>
      <c r="E402" s="32"/>
      <c r="F402" s="32"/>
      <c r="G402" s="3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3"/>
      <c r="B403" s="9"/>
      <c r="C403" s="3"/>
      <c r="D403" s="33"/>
      <c r="E403" s="32"/>
      <c r="F403" s="32"/>
      <c r="G403" s="3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3"/>
      <c r="B404" s="9"/>
      <c r="C404" s="3"/>
      <c r="D404" s="33"/>
      <c r="E404" s="32"/>
      <c r="F404" s="32"/>
      <c r="G404" s="3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3"/>
      <c r="B405" s="9"/>
      <c r="C405" s="3"/>
      <c r="D405" s="33"/>
      <c r="E405" s="32"/>
      <c r="F405" s="32"/>
      <c r="G405" s="3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3"/>
      <c r="B406" s="9"/>
      <c r="C406" s="3"/>
      <c r="D406" s="33"/>
      <c r="E406" s="32"/>
      <c r="F406" s="32"/>
      <c r="G406" s="3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3"/>
      <c r="B407" s="9"/>
      <c r="C407" s="3"/>
      <c r="D407" s="33"/>
      <c r="E407" s="32"/>
      <c r="F407" s="32"/>
      <c r="G407" s="3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3"/>
      <c r="B408" s="9"/>
      <c r="C408" s="3"/>
      <c r="D408" s="33"/>
      <c r="E408" s="32"/>
      <c r="F408" s="32"/>
      <c r="G408" s="3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3"/>
      <c r="B409" s="9"/>
      <c r="C409" s="3"/>
      <c r="D409" s="33"/>
      <c r="E409" s="32"/>
      <c r="F409" s="32"/>
      <c r="G409" s="3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3"/>
      <c r="B410" s="9"/>
      <c r="C410" s="3"/>
      <c r="D410" s="33"/>
      <c r="E410" s="32"/>
      <c r="F410" s="32"/>
      <c r="G410" s="3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3"/>
      <c r="B411" s="9"/>
      <c r="C411" s="3"/>
      <c r="D411" s="33"/>
      <c r="E411" s="32"/>
      <c r="F411" s="32"/>
      <c r="G411" s="3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3"/>
      <c r="B412" s="9"/>
      <c r="C412" s="3"/>
      <c r="D412" s="33"/>
      <c r="E412" s="32"/>
      <c r="F412" s="32"/>
      <c r="G412" s="3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3"/>
      <c r="B413" s="9"/>
      <c r="C413" s="3"/>
      <c r="D413" s="33"/>
      <c r="E413" s="32"/>
      <c r="F413" s="32"/>
      <c r="G413" s="3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3"/>
      <c r="B414" s="9"/>
      <c r="C414" s="3"/>
      <c r="D414" s="33"/>
      <c r="E414" s="32"/>
      <c r="F414" s="32"/>
      <c r="G414" s="3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3"/>
      <c r="B415" s="9"/>
      <c r="C415" s="3"/>
      <c r="D415" s="33"/>
      <c r="E415" s="32"/>
      <c r="F415" s="32"/>
      <c r="G415" s="3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3"/>
      <c r="B416" s="9"/>
      <c r="C416" s="3"/>
      <c r="D416" s="33"/>
      <c r="E416" s="32"/>
      <c r="F416" s="32"/>
      <c r="G416" s="3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3"/>
      <c r="B417" s="9"/>
      <c r="C417" s="3"/>
      <c r="D417" s="33"/>
      <c r="E417" s="32"/>
      <c r="F417" s="32"/>
      <c r="G417" s="3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3"/>
      <c r="B418" s="9"/>
      <c r="C418" s="3"/>
      <c r="D418" s="33"/>
      <c r="E418" s="32"/>
      <c r="F418" s="32"/>
      <c r="G418" s="3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3"/>
      <c r="B419" s="9"/>
      <c r="C419" s="3"/>
      <c r="D419" s="33"/>
      <c r="E419" s="32"/>
      <c r="F419" s="32"/>
      <c r="G419" s="3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3"/>
      <c r="B420" s="9"/>
      <c r="C420" s="3"/>
      <c r="D420" s="33"/>
      <c r="E420" s="32"/>
      <c r="F420" s="32"/>
      <c r="G420" s="3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3"/>
      <c r="B421" s="9"/>
      <c r="C421" s="3"/>
      <c r="D421" s="33"/>
      <c r="E421" s="32"/>
      <c r="F421" s="32"/>
      <c r="G421" s="3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3"/>
      <c r="B422" s="9"/>
      <c r="C422" s="3"/>
      <c r="D422" s="33"/>
      <c r="E422" s="32"/>
      <c r="F422" s="32"/>
      <c r="G422" s="3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3"/>
      <c r="B423" s="9"/>
      <c r="C423" s="3"/>
      <c r="D423" s="33"/>
      <c r="E423" s="32"/>
      <c r="F423" s="32"/>
      <c r="G423" s="3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3"/>
      <c r="B424" s="9"/>
      <c r="C424" s="3"/>
      <c r="D424" s="33"/>
      <c r="E424" s="32"/>
      <c r="F424" s="32"/>
      <c r="G424" s="3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3"/>
      <c r="B425" s="9"/>
      <c r="C425" s="3"/>
      <c r="D425" s="33"/>
      <c r="E425" s="32"/>
      <c r="F425" s="32"/>
      <c r="G425" s="3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3"/>
      <c r="B426" s="9"/>
      <c r="C426" s="3"/>
      <c r="D426" s="33"/>
      <c r="E426" s="32"/>
      <c r="F426" s="32"/>
      <c r="G426" s="3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3"/>
      <c r="B427" s="9"/>
      <c r="C427" s="3"/>
      <c r="D427" s="33"/>
      <c r="E427" s="32"/>
      <c r="F427" s="32"/>
      <c r="G427" s="3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3"/>
      <c r="B428" s="9"/>
      <c r="C428" s="3"/>
      <c r="D428" s="33"/>
      <c r="E428" s="32"/>
      <c r="F428" s="32"/>
      <c r="G428" s="3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3"/>
      <c r="B429" s="9"/>
      <c r="C429" s="3"/>
      <c r="D429" s="33"/>
      <c r="E429" s="32"/>
      <c r="F429" s="32"/>
      <c r="G429" s="3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3"/>
      <c r="B430" s="9"/>
      <c r="C430" s="3"/>
      <c r="D430" s="33"/>
      <c r="E430" s="32"/>
      <c r="F430" s="32"/>
      <c r="G430" s="3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3"/>
      <c r="B431" s="9"/>
      <c r="C431" s="3"/>
      <c r="D431" s="33"/>
      <c r="E431" s="32"/>
      <c r="F431" s="32"/>
      <c r="G431" s="3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3"/>
      <c r="B432" s="9"/>
      <c r="C432" s="3"/>
      <c r="D432" s="33"/>
      <c r="E432" s="32"/>
      <c r="F432" s="32"/>
      <c r="G432" s="3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3"/>
      <c r="B433" s="9"/>
      <c r="C433" s="3"/>
      <c r="D433" s="33"/>
      <c r="E433" s="32"/>
      <c r="F433" s="32"/>
      <c r="G433" s="3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3"/>
      <c r="B434" s="9"/>
      <c r="C434" s="3"/>
      <c r="D434" s="33"/>
      <c r="E434" s="32"/>
      <c r="F434" s="32"/>
      <c r="G434" s="3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3"/>
      <c r="B435" s="9"/>
      <c r="C435" s="3"/>
      <c r="D435" s="33"/>
      <c r="E435" s="32"/>
      <c r="F435" s="32"/>
      <c r="G435" s="3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3"/>
      <c r="B436" s="9"/>
      <c r="C436" s="3"/>
      <c r="D436" s="33"/>
      <c r="E436" s="32"/>
      <c r="F436" s="32"/>
      <c r="G436" s="3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3"/>
      <c r="B437" s="9"/>
      <c r="C437" s="3"/>
      <c r="D437" s="33"/>
      <c r="E437" s="32"/>
      <c r="F437" s="32"/>
      <c r="G437" s="3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3"/>
      <c r="B438" s="9"/>
      <c r="C438" s="3"/>
      <c r="D438" s="33"/>
      <c r="E438" s="32"/>
      <c r="F438" s="32"/>
      <c r="G438" s="3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3"/>
      <c r="B439" s="9"/>
      <c r="C439" s="3"/>
      <c r="D439" s="33"/>
      <c r="E439" s="32"/>
      <c r="F439" s="32"/>
      <c r="G439" s="3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3"/>
      <c r="B440" s="9"/>
      <c r="C440" s="3"/>
      <c r="D440" s="33"/>
      <c r="E440" s="32"/>
      <c r="F440" s="32"/>
      <c r="G440" s="3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3"/>
      <c r="B441" s="9"/>
      <c r="C441" s="3"/>
      <c r="D441" s="33"/>
      <c r="E441" s="32"/>
      <c r="F441" s="32"/>
      <c r="G441" s="3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3"/>
      <c r="B442" s="9"/>
      <c r="C442" s="3"/>
      <c r="D442" s="33"/>
      <c r="E442" s="32"/>
      <c r="F442" s="32"/>
      <c r="G442" s="3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3"/>
      <c r="B443" s="9"/>
      <c r="C443" s="3"/>
      <c r="D443" s="33"/>
      <c r="E443" s="32"/>
      <c r="F443" s="32"/>
      <c r="G443" s="3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3"/>
      <c r="B444" s="9"/>
      <c r="C444" s="3"/>
      <c r="D444" s="33"/>
      <c r="E444" s="32"/>
      <c r="F444" s="32"/>
      <c r="G444" s="3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3"/>
      <c r="B445" s="9"/>
      <c r="C445" s="3"/>
      <c r="D445" s="33"/>
      <c r="E445" s="32"/>
      <c r="F445" s="32"/>
      <c r="G445" s="3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3"/>
      <c r="B446" s="9"/>
      <c r="C446" s="3"/>
      <c r="D446" s="33"/>
      <c r="E446" s="32"/>
      <c r="F446" s="32"/>
      <c r="G446" s="3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3"/>
      <c r="B447" s="9"/>
      <c r="C447" s="3"/>
      <c r="D447" s="33"/>
      <c r="E447" s="32"/>
      <c r="F447" s="32"/>
      <c r="G447" s="3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3"/>
      <c r="B448" s="9"/>
      <c r="C448" s="3"/>
      <c r="D448" s="33"/>
      <c r="E448" s="32"/>
      <c r="F448" s="32"/>
      <c r="G448" s="3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3"/>
      <c r="B449" s="9"/>
      <c r="C449" s="3"/>
      <c r="D449" s="33"/>
      <c r="E449" s="32"/>
      <c r="F449" s="32"/>
      <c r="G449" s="3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3"/>
      <c r="B450" s="9"/>
      <c r="C450" s="3"/>
      <c r="D450" s="33"/>
      <c r="E450" s="32"/>
      <c r="F450" s="32"/>
      <c r="G450" s="3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3"/>
      <c r="B451" s="9"/>
      <c r="C451" s="3"/>
      <c r="D451" s="33"/>
      <c r="E451" s="32"/>
      <c r="F451" s="32"/>
      <c r="G451" s="3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3"/>
      <c r="B452" s="9"/>
      <c r="C452" s="3"/>
      <c r="D452" s="33"/>
      <c r="E452" s="32"/>
      <c r="F452" s="32"/>
      <c r="G452" s="3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3"/>
      <c r="B453" s="9"/>
      <c r="C453" s="3"/>
      <c r="D453" s="33"/>
      <c r="E453" s="32"/>
      <c r="F453" s="32"/>
      <c r="G453" s="3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3"/>
      <c r="B454" s="9"/>
      <c r="C454" s="3"/>
      <c r="D454" s="33"/>
      <c r="E454" s="32"/>
      <c r="F454" s="32"/>
      <c r="G454" s="3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3"/>
      <c r="B455" s="9"/>
      <c r="C455" s="3"/>
      <c r="D455" s="33"/>
      <c r="E455" s="32"/>
      <c r="F455" s="32"/>
      <c r="G455" s="3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3"/>
      <c r="B456" s="9"/>
      <c r="C456" s="3"/>
      <c r="D456" s="33"/>
      <c r="E456" s="32"/>
      <c r="F456" s="32"/>
      <c r="G456" s="3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3"/>
      <c r="B457" s="9"/>
      <c r="C457" s="3"/>
      <c r="D457" s="33"/>
      <c r="E457" s="32"/>
      <c r="F457" s="32"/>
      <c r="G457" s="3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3"/>
      <c r="B458" s="9"/>
      <c r="C458" s="3"/>
      <c r="D458" s="33"/>
      <c r="E458" s="32"/>
      <c r="F458" s="32"/>
      <c r="G458" s="3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3"/>
      <c r="B459" s="9"/>
      <c r="C459" s="3"/>
      <c r="D459" s="33"/>
      <c r="E459" s="32"/>
      <c r="F459" s="32"/>
      <c r="G459" s="3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3"/>
      <c r="B460" s="9"/>
      <c r="C460" s="3"/>
      <c r="D460" s="33"/>
      <c r="E460" s="32"/>
      <c r="F460" s="32"/>
      <c r="G460" s="3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3"/>
      <c r="B461" s="9"/>
      <c r="C461" s="3"/>
      <c r="D461" s="33"/>
      <c r="E461" s="32"/>
      <c r="F461" s="32"/>
      <c r="G461" s="3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3"/>
      <c r="B462" s="9"/>
      <c r="C462" s="3"/>
      <c r="D462" s="33"/>
      <c r="E462" s="32"/>
      <c r="F462" s="32"/>
      <c r="G462" s="3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3"/>
      <c r="B463" s="9"/>
      <c r="C463" s="3"/>
      <c r="D463" s="33"/>
      <c r="E463" s="32"/>
      <c r="F463" s="32"/>
      <c r="G463" s="3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3"/>
      <c r="B464" s="9"/>
      <c r="C464" s="3"/>
      <c r="D464" s="33"/>
      <c r="E464" s="32"/>
      <c r="F464" s="32"/>
      <c r="G464" s="3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3"/>
      <c r="B465" s="9"/>
      <c r="C465" s="3"/>
      <c r="D465" s="33"/>
      <c r="E465" s="32"/>
      <c r="F465" s="32"/>
      <c r="G465" s="3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3"/>
      <c r="B466" s="9"/>
      <c r="C466" s="3"/>
      <c r="D466" s="33"/>
      <c r="E466" s="32"/>
      <c r="F466" s="32"/>
      <c r="G466" s="3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3"/>
      <c r="B467" s="9"/>
      <c r="C467" s="3"/>
      <c r="D467" s="33"/>
      <c r="E467" s="32"/>
      <c r="F467" s="32"/>
      <c r="G467" s="3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3"/>
      <c r="B468" s="9"/>
      <c r="C468" s="3"/>
      <c r="D468" s="33"/>
      <c r="E468" s="32"/>
      <c r="F468" s="32"/>
      <c r="G468" s="3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3"/>
      <c r="B469" s="9"/>
      <c r="C469" s="3"/>
      <c r="D469" s="33"/>
      <c r="E469" s="32"/>
      <c r="F469" s="32"/>
      <c r="G469" s="3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3"/>
      <c r="B470" s="9"/>
      <c r="C470" s="3"/>
      <c r="D470" s="33"/>
      <c r="E470" s="32"/>
      <c r="F470" s="32"/>
      <c r="G470" s="3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3"/>
      <c r="B471" s="9"/>
      <c r="C471" s="3"/>
      <c r="D471" s="33"/>
      <c r="E471" s="32"/>
      <c r="F471" s="32"/>
      <c r="G471" s="3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3"/>
      <c r="B472" s="9"/>
      <c r="C472" s="3"/>
      <c r="D472" s="33"/>
      <c r="E472" s="32"/>
      <c r="F472" s="32"/>
      <c r="G472" s="3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3"/>
      <c r="B473" s="9"/>
      <c r="C473" s="3"/>
      <c r="D473" s="33"/>
      <c r="E473" s="32"/>
      <c r="F473" s="32"/>
      <c r="G473" s="3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3"/>
      <c r="B474" s="9"/>
      <c r="C474" s="3"/>
      <c r="D474" s="33"/>
      <c r="E474" s="32"/>
      <c r="F474" s="32"/>
      <c r="G474" s="3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3"/>
      <c r="B475" s="9"/>
      <c r="C475" s="3"/>
      <c r="D475" s="33"/>
      <c r="E475" s="32"/>
      <c r="F475" s="32"/>
      <c r="G475" s="3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3"/>
      <c r="B476" s="9"/>
      <c r="C476" s="3"/>
      <c r="D476" s="33"/>
      <c r="E476" s="32"/>
      <c r="F476" s="32"/>
      <c r="G476" s="3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3"/>
      <c r="B477" s="9"/>
      <c r="C477" s="3"/>
      <c r="D477" s="33"/>
      <c r="E477" s="32"/>
      <c r="F477" s="32"/>
      <c r="G477" s="3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3"/>
      <c r="B478" s="9"/>
      <c r="C478" s="3"/>
      <c r="D478" s="33"/>
      <c r="E478" s="32"/>
      <c r="F478" s="32"/>
      <c r="G478" s="3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3"/>
      <c r="B479" s="9"/>
      <c r="C479" s="3"/>
      <c r="D479" s="33"/>
      <c r="E479" s="32"/>
      <c r="F479" s="32"/>
      <c r="G479" s="3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3"/>
      <c r="B480" s="9"/>
      <c r="C480" s="3"/>
      <c r="D480" s="33"/>
      <c r="E480" s="32"/>
      <c r="F480" s="32"/>
      <c r="G480" s="3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3"/>
      <c r="B481" s="9"/>
      <c r="C481" s="3"/>
      <c r="D481" s="33"/>
      <c r="E481" s="32"/>
      <c r="F481" s="32"/>
      <c r="G481" s="3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3"/>
      <c r="B482" s="9"/>
      <c r="C482" s="3"/>
      <c r="D482" s="33"/>
      <c r="E482" s="32"/>
      <c r="F482" s="32"/>
      <c r="G482" s="3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3"/>
      <c r="B483" s="9"/>
      <c r="C483" s="3"/>
      <c r="D483" s="33"/>
      <c r="E483" s="32"/>
      <c r="F483" s="32"/>
      <c r="G483" s="3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3"/>
      <c r="B484" s="9"/>
      <c r="C484" s="3"/>
      <c r="D484" s="33"/>
      <c r="E484" s="32"/>
      <c r="F484" s="32"/>
      <c r="G484" s="3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3"/>
      <c r="B485" s="9"/>
      <c r="C485" s="3"/>
      <c r="D485" s="33"/>
      <c r="E485" s="32"/>
      <c r="F485" s="32"/>
      <c r="G485" s="3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3"/>
      <c r="B486" s="9"/>
      <c r="C486" s="3"/>
      <c r="D486" s="33"/>
      <c r="E486" s="32"/>
      <c r="F486" s="32"/>
      <c r="G486" s="3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3"/>
      <c r="B487" s="9"/>
      <c r="C487" s="3"/>
      <c r="D487" s="33"/>
      <c r="E487" s="32"/>
      <c r="F487" s="32"/>
      <c r="G487" s="3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3"/>
      <c r="B488" s="9"/>
      <c r="C488" s="3"/>
      <c r="D488" s="33"/>
      <c r="E488" s="32"/>
      <c r="F488" s="32"/>
      <c r="G488" s="3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3"/>
      <c r="B489" s="9"/>
      <c r="C489" s="3"/>
      <c r="D489" s="33"/>
      <c r="E489" s="32"/>
      <c r="F489" s="32"/>
      <c r="G489" s="3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3"/>
      <c r="B490" s="9"/>
      <c r="C490" s="3"/>
      <c r="D490" s="33"/>
      <c r="E490" s="32"/>
      <c r="F490" s="32"/>
      <c r="G490" s="3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3"/>
      <c r="B491" s="9"/>
      <c r="C491" s="3"/>
      <c r="D491" s="33"/>
      <c r="E491" s="32"/>
      <c r="F491" s="32"/>
      <c r="G491" s="3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3"/>
      <c r="B492" s="9"/>
      <c r="C492" s="3"/>
      <c r="D492" s="33"/>
      <c r="E492" s="32"/>
      <c r="F492" s="32"/>
      <c r="G492" s="3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3"/>
      <c r="B493" s="9"/>
      <c r="C493" s="3"/>
      <c r="D493" s="33"/>
      <c r="E493" s="32"/>
      <c r="F493" s="32"/>
      <c r="G493" s="3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3"/>
      <c r="B494" s="9"/>
      <c r="C494" s="3"/>
      <c r="D494" s="33"/>
      <c r="E494" s="32"/>
      <c r="F494" s="32"/>
      <c r="G494" s="3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3"/>
      <c r="B495" s="9"/>
      <c r="C495" s="3"/>
      <c r="D495" s="33"/>
      <c r="E495" s="32"/>
      <c r="F495" s="32"/>
      <c r="G495" s="3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3"/>
      <c r="B496" s="9"/>
      <c r="C496" s="3"/>
      <c r="D496" s="33"/>
      <c r="E496" s="32"/>
      <c r="F496" s="32"/>
      <c r="G496" s="3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3"/>
      <c r="B497" s="9"/>
      <c r="C497" s="3"/>
      <c r="D497" s="33"/>
      <c r="E497" s="32"/>
      <c r="F497" s="32"/>
      <c r="G497" s="3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3"/>
      <c r="B498" s="9"/>
      <c r="C498" s="3"/>
      <c r="D498" s="33"/>
      <c r="E498" s="32"/>
      <c r="F498" s="32"/>
      <c r="G498" s="3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3"/>
      <c r="B499" s="9"/>
      <c r="C499" s="3"/>
      <c r="D499" s="33"/>
      <c r="E499" s="32"/>
      <c r="F499" s="32"/>
      <c r="G499" s="3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3"/>
      <c r="B500" s="9"/>
      <c r="C500" s="3"/>
      <c r="D500" s="33"/>
      <c r="E500" s="32"/>
      <c r="F500" s="32"/>
      <c r="G500" s="3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3"/>
      <c r="B501" s="9"/>
      <c r="C501" s="3"/>
      <c r="D501" s="33"/>
      <c r="E501" s="32"/>
      <c r="F501" s="32"/>
      <c r="G501" s="3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3"/>
      <c r="B502" s="9"/>
      <c r="C502" s="3"/>
      <c r="D502" s="33"/>
      <c r="E502" s="32"/>
      <c r="F502" s="32"/>
      <c r="G502" s="3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3"/>
      <c r="B503" s="9"/>
      <c r="C503" s="3"/>
      <c r="D503" s="33"/>
      <c r="E503" s="32"/>
      <c r="F503" s="32"/>
      <c r="G503" s="3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3"/>
      <c r="B504" s="9"/>
      <c r="C504" s="3"/>
      <c r="D504" s="33"/>
      <c r="E504" s="32"/>
      <c r="F504" s="32"/>
      <c r="G504" s="3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3"/>
      <c r="B505" s="9"/>
      <c r="C505" s="3"/>
      <c r="D505" s="33"/>
      <c r="E505" s="32"/>
      <c r="F505" s="32"/>
      <c r="G505" s="3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3"/>
      <c r="B506" s="9"/>
      <c r="C506" s="3"/>
      <c r="D506" s="33"/>
      <c r="E506" s="32"/>
      <c r="F506" s="32"/>
      <c r="G506" s="3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3"/>
      <c r="B507" s="9"/>
      <c r="C507" s="3"/>
      <c r="D507" s="33"/>
      <c r="E507" s="32"/>
      <c r="F507" s="32"/>
      <c r="G507" s="3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3"/>
      <c r="B508" s="9"/>
      <c r="C508" s="3"/>
      <c r="D508" s="33"/>
      <c r="E508" s="32"/>
      <c r="F508" s="32"/>
      <c r="G508" s="3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3"/>
      <c r="B509" s="9"/>
      <c r="C509" s="3"/>
      <c r="D509" s="33"/>
      <c r="E509" s="32"/>
      <c r="F509" s="32"/>
      <c r="G509" s="3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3"/>
      <c r="B510" s="9"/>
      <c r="C510" s="3"/>
      <c r="D510" s="33"/>
      <c r="E510" s="32"/>
      <c r="F510" s="32"/>
      <c r="G510" s="3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3"/>
      <c r="B511" s="9"/>
      <c r="C511" s="3"/>
      <c r="D511" s="33"/>
      <c r="E511" s="32"/>
      <c r="F511" s="32"/>
      <c r="G511" s="3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3"/>
      <c r="B512" s="9"/>
      <c r="C512" s="3"/>
      <c r="D512" s="33"/>
      <c r="E512" s="32"/>
      <c r="F512" s="32"/>
      <c r="G512" s="3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3"/>
      <c r="B513" s="9"/>
      <c r="C513" s="3"/>
      <c r="D513" s="33"/>
      <c r="E513" s="32"/>
      <c r="F513" s="32"/>
      <c r="G513" s="3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3"/>
      <c r="B514" s="9"/>
      <c r="C514" s="3"/>
      <c r="D514" s="33"/>
      <c r="E514" s="32"/>
      <c r="F514" s="32"/>
      <c r="G514" s="3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3"/>
      <c r="B515" s="9"/>
      <c r="C515" s="3"/>
      <c r="D515" s="33"/>
      <c r="E515" s="32"/>
      <c r="F515" s="32"/>
      <c r="G515" s="3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3"/>
      <c r="B516" s="9"/>
      <c r="C516" s="3"/>
      <c r="D516" s="33"/>
      <c r="E516" s="32"/>
      <c r="F516" s="32"/>
      <c r="G516" s="3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3"/>
      <c r="B517" s="9"/>
      <c r="C517" s="3"/>
      <c r="D517" s="33"/>
      <c r="E517" s="32"/>
      <c r="F517" s="32"/>
      <c r="G517" s="3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3"/>
      <c r="B518" s="9"/>
      <c r="C518" s="3"/>
      <c r="D518" s="33"/>
      <c r="E518" s="32"/>
      <c r="F518" s="32"/>
      <c r="G518" s="3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3"/>
      <c r="B519" s="9"/>
      <c r="C519" s="3"/>
      <c r="D519" s="33"/>
      <c r="E519" s="32"/>
      <c r="F519" s="32"/>
      <c r="G519" s="3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3"/>
      <c r="B520" s="9"/>
      <c r="C520" s="3"/>
      <c r="D520" s="33"/>
      <c r="E520" s="32"/>
      <c r="F520" s="32"/>
      <c r="G520" s="3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3"/>
      <c r="B521" s="9"/>
      <c r="C521" s="3"/>
      <c r="D521" s="33"/>
      <c r="E521" s="32"/>
      <c r="F521" s="32"/>
      <c r="G521" s="3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3"/>
      <c r="B522" s="9"/>
      <c r="C522" s="3"/>
      <c r="D522" s="33"/>
      <c r="E522" s="32"/>
      <c r="F522" s="32"/>
      <c r="G522" s="3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3"/>
      <c r="B523" s="9"/>
      <c r="C523" s="3"/>
      <c r="D523" s="33"/>
      <c r="E523" s="32"/>
      <c r="F523" s="32"/>
      <c r="G523" s="3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3"/>
      <c r="B524" s="9"/>
      <c r="C524" s="3"/>
      <c r="D524" s="33"/>
      <c r="E524" s="32"/>
      <c r="F524" s="32"/>
      <c r="G524" s="3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3"/>
      <c r="B525" s="9"/>
      <c r="C525" s="3"/>
      <c r="D525" s="33"/>
      <c r="E525" s="32"/>
      <c r="F525" s="32"/>
      <c r="G525" s="3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3"/>
      <c r="B526" s="9"/>
      <c r="C526" s="3"/>
      <c r="D526" s="33"/>
      <c r="E526" s="32"/>
      <c r="F526" s="32"/>
      <c r="G526" s="3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3"/>
      <c r="B527" s="9"/>
      <c r="C527" s="3"/>
      <c r="D527" s="33"/>
      <c r="E527" s="32"/>
      <c r="F527" s="32"/>
      <c r="G527" s="3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3"/>
      <c r="B528" s="9"/>
      <c r="C528" s="3"/>
      <c r="D528" s="33"/>
      <c r="E528" s="32"/>
      <c r="F528" s="32"/>
      <c r="G528" s="3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3"/>
      <c r="B529" s="9"/>
      <c r="C529" s="3"/>
      <c r="D529" s="33"/>
      <c r="E529" s="32"/>
      <c r="F529" s="32"/>
      <c r="G529" s="3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3"/>
      <c r="B530" s="9"/>
      <c r="C530" s="3"/>
      <c r="D530" s="33"/>
      <c r="E530" s="32"/>
      <c r="F530" s="32"/>
      <c r="G530" s="3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3"/>
      <c r="B531" s="9"/>
      <c r="C531" s="3"/>
      <c r="D531" s="33"/>
      <c r="E531" s="32"/>
      <c r="F531" s="32"/>
      <c r="G531" s="3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3"/>
      <c r="B532" s="9"/>
      <c r="C532" s="3"/>
      <c r="D532" s="33"/>
      <c r="E532" s="32"/>
      <c r="F532" s="32"/>
      <c r="G532" s="3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3"/>
      <c r="B533" s="9"/>
      <c r="C533" s="3"/>
      <c r="D533" s="33"/>
      <c r="E533" s="32"/>
      <c r="F533" s="32"/>
      <c r="G533" s="3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3"/>
      <c r="B534" s="9"/>
      <c r="C534" s="3"/>
      <c r="D534" s="33"/>
      <c r="E534" s="32"/>
      <c r="F534" s="32"/>
      <c r="G534" s="3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3"/>
      <c r="B535" s="9"/>
      <c r="C535" s="3"/>
      <c r="D535" s="33"/>
      <c r="E535" s="32"/>
      <c r="F535" s="32"/>
      <c r="G535" s="3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3"/>
      <c r="B536" s="9"/>
      <c r="C536" s="3"/>
      <c r="D536" s="33"/>
      <c r="E536" s="32"/>
      <c r="F536" s="32"/>
      <c r="G536" s="3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3"/>
      <c r="B537" s="9"/>
      <c r="C537" s="3"/>
      <c r="D537" s="33"/>
      <c r="E537" s="32"/>
      <c r="F537" s="32"/>
      <c r="G537" s="3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3"/>
      <c r="B538" s="9"/>
      <c r="C538" s="3"/>
      <c r="D538" s="33"/>
      <c r="E538" s="32"/>
      <c r="F538" s="32"/>
      <c r="G538" s="3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3"/>
      <c r="B539" s="9"/>
      <c r="C539" s="3"/>
      <c r="D539" s="33"/>
      <c r="E539" s="32"/>
      <c r="F539" s="32"/>
      <c r="G539" s="3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3"/>
      <c r="B540" s="9"/>
      <c r="C540" s="3"/>
      <c r="D540" s="33"/>
      <c r="E540" s="32"/>
      <c r="F540" s="32"/>
      <c r="G540" s="3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3"/>
      <c r="B541" s="9"/>
      <c r="C541" s="3"/>
      <c r="D541" s="33"/>
      <c r="E541" s="32"/>
      <c r="F541" s="32"/>
      <c r="G541" s="3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3"/>
      <c r="B542" s="9"/>
      <c r="C542" s="3"/>
      <c r="D542" s="33"/>
      <c r="E542" s="32"/>
      <c r="F542" s="32"/>
      <c r="G542" s="3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3"/>
      <c r="B543" s="9"/>
      <c r="C543" s="3"/>
      <c r="D543" s="33"/>
      <c r="E543" s="32"/>
      <c r="F543" s="32"/>
      <c r="G543" s="3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3"/>
      <c r="B544" s="9"/>
      <c r="C544" s="3"/>
      <c r="D544" s="33"/>
      <c r="E544" s="32"/>
      <c r="F544" s="32"/>
      <c r="G544" s="3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3"/>
      <c r="B545" s="9"/>
      <c r="C545" s="3"/>
      <c r="D545" s="33"/>
      <c r="E545" s="32"/>
      <c r="F545" s="32"/>
      <c r="G545" s="3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3"/>
      <c r="B546" s="9"/>
      <c r="C546" s="3"/>
      <c r="D546" s="33"/>
      <c r="E546" s="32"/>
      <c r="F546" s="32"/>
      <c r="G546" s="3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3"/>
      <c r="B547" s="9"/>
      <c r="C547" s="3"/>
      <c r="D547" s="33"/>
      <c r="E547" s="32"/>
      <c r="F547" s="32"/>
      <c r="G547" s="3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3"/>
      <c r="B548" s="9"/>
      <c r="C548" s="3"/>
      <c r="D548" s="33"/>
      <c r="E548" s="32"/>
      <c r="F548" s="32"/>
      <c r="G548" s="3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3"/>
      <c r="B549" s="9"/>
      <c r="C549" s="3"/>
      <c r="D549" s="33"/>
      <c r="E549" s="32"/>
      <c r="F549" s="32"/>
      <c r="G549" s="3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3"/>
      <c r="B550" s="9"/>
      <c r="C550" s="3"/>
      <c r="D550" s="33"/>
      <c r="E550" s="32"/>
      <c r="F550" s="32"/>
      <c r="G550" s="3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3"/>
      <c r="B551" s="9"/>
      <c r="C551" s="3"/>
      <c r="D551" s="33"/>
      <c r="E551" s="32"/>
      <c r="F551" s="32"/>
      <c r="G551" s="3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3"/>
      <c r="B552" s="9"/>
      <c r="C552" s="3"/>
      <c r="D552" s="33"/>
      <c r="E552" s="32"/>
      <c r="F552" s="32"/>
      <c r="G552" s="3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3"/>
      <c r="B553" s="9"/>
      <c r="C553" s="3"/>
      <c r="D553" s="33"/>
      <c r="E553" s="32"/>
      <c r="F553" s="32"/>
      <c r="G553" s="3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3"/>
      <c r="B554" s="9"/>
      <c r="C554" s="3"/>
      <c r="D554" s="33"/>
      <c r="E554" s="32"/>
      <c r="F554" s="32"/>
      <c r="G554" s="3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3"/>
      <c r="B555" s="9"/>
      <c r="C555" s="3"/>
      <c r="D555" s="33"/>
      <c r="E555" s="32"/>
      <c r="F555" s="32"/>
      <c r="G555" s="3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3"/>
      <c r="B556" s="9"/>
      <c r="C556" s="3"/>
      <c r="D556" s="33"/>
      <c r="E556" s="32"/>
      <c r="F556" s="32"/>
      <c r="G556" s="3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3"/>
      <c r="B557" s="9"/>
      <c r="C557" s="3"/>
      <c r="D557" s="33"/>
      <c r="E557" s="32"/>
      <c r="F557" s="32"/>
      <c r="G557" s="3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3"/>
      <c r="B558" s="9"/>
      <c r="C558" s="3"/>
      <c r="D558" s="33"/>
      <c r="E558" s="32"/>
      <c r="F558" s="32"/>
      <c r="G558" s="3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3"/>
      <c r="B559" s="9"/>
      <c r="C559" s="3"/>
      <c r="D559" s="33"/>
      <c r="E559" s="32"/>
      <c r="F559" s="32"/>
      <c r="G559" s="3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3"/>
      <c r="B560" s="9"/>
      <c r="C560" s="3"/>
      <c r="D560" s="33"/>
      <c r="E560" s="32"/>
      <c r="F560" s="32"/>
      <c r="G560" s="3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3"/>
      <c r="B561" s="9"/>
      <c r="C561" s="3"/>
      <c r="D561" s="33"/>
      <c r="E561" s="32"/>
      <c r="F561" s="32"/>
      <c r="G561" s="3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3"/>
      <c r="B562" s="9"/>
      <c r="C562" s="3"/>
      <c r="D562" s="33"/>
      <c r="E562" s="32"/>
      <c r="F562" s="32"/>
      <c r="G562" s="3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3"/>
      <c r="B563" s="9"/>
      <c r="C563" s="3"/>
      <c r="D563" s="33"/>
      <c r="E563" s="32"/>
      <c r="F563" s="32"/>
      <c r="G563" s="3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3"/>
      <c r="B564" s="9"/>
      <c r="C564" s="3"/>
      <c r="D564" s="33"/>
      <c r="E564" s="32"/>
      <c r="F564" s="32"/>
      <c r="G564" s="3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3"/>
      <c r="B565" s="9"/>
      <c r="C565" s="3"/>
      <c r="D565" s="33"/>
      <c r="E565" s="32"/>
      <c r="F565" s="32"/>
      <c r="G565" s="3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3"/>
      <c r="B566" s="9"/>
      <c r="C566" s="3"/>
      <c r="D566" s="33"/>
      <c r="E566" s="32"/>
      <c r="F566" s="32"/>
      <c r="G566" s="3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3"/>
      <c r="B567" s="9"/>
      <c r="C567" s="3"/>
      <c r="D567" s="33"/>
      <c r="E567" s="32"/>
      <c r="F567" s="32"/>
      <c r="G567" s="3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3"/>
      <c r="B568" s="9"/>
      <c r="C568" s="3"/>
      <c r="D568" s="33"/>
      <c r="E568" s="32"/>
      <c r="F568" s="32"/>
      <c r="G568" s="3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3"/>
      <c r="B569" s="9"/>
      <c r="C569" s="3"/>
      <c r="D569" s="33"/>
      <c r="E569" s="32"/>
      <c r="F569" s="32"/>
      <c r="G569" s="3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3"/>
      <c r="B570" s="9"/>
      <c r="C570" s="3"/>
      <c r="D570" s="33"/>
      <c r="E570" s="32"/>
      <c r="F570" s="32"/>
      <c r="G570" s="3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3"/>
      <c r="B571" s="9"/>
      <c r="C571" s="3"/>
      <c r="D571" s="33"/>
      <c r="E571" s="32"/>
      <c r="F571" s="32"/>
      <c r="G571" s="3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3"/>
      <c r="B572" s="9"/>
      <c r="C572" s="3"/>
      <c r="D572" s="33"/>
      <c r="E572" s="32"/>
      <c r="F572" s="32"/>
      <c r="G572" s="3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3"/>
      <c r="B573" s="9"/>
      <c r="C573" s="3"/>
      <c r="D573" s="33"/>
      <c r="E573" s="32"/>
      <c r="F573" s="32"/>
      <c r="G573" s="3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3"/>
      <c r="B574" s="9"/>
      <c r="C574" s="3"/>
      <c r="D574" s="33"/>
      <c r="E574" s="32"/>
      <c r="F574" s="32"/>
      <c r="G574" s="3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3"/>
      <c r="B575" s="9"/>
      <c r="C575" s="3"/>
      <c r="D575" s="33"/>
      <c r="E575" s="32"/>
      <c r="F575" s="32"/>
      <c r="G575" s="3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3"/>
      <c r="B576" s="9"/>
      <c r="C576" s="3"/>
      <c r="D576" s="33"/>
      <c r="E576" s="32"/>
      <c r="F576" s="32"/>
      <c r="G576" s="3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3"/>
      <c r="B577" s="9"/>
      <c r="C577" s="3"/>
      <c r="D577" s="33"/>
      <c r="E577" s="32"/>
      <c r="F577" s="32"/>
      <c r="G577" s="3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3"/>
      <c r="B578" s="9"/>
      <c r="C578" s="3"/>
      <c r="D578" s="33"/>
      <c r="E578" s="32"/>
      <c r="F578" s="32"/>
      <c r="G578" s="3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3"/>
      <c r="B579" s="9"/>
      <c r="C579" s="3"/>
      <c r="D579" s="33"/>
      <c r="E579" s="32"/>
      <c r="F579" s="32"/>
      <c r="G579" s="3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3"/>
      <c r="B580" s="9"/>
      <c r="C580" s="3"/>
      <c r="D580" s="33"/>
      <c r="E580" s="32"/>
      <c r="F580" s="32"/>
      <c r="G580" s="3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3"/>
      <c r="B581" s="9"/>
      <c r="C581" s="3"/>
      <c r="D581" s="33"/>
      <c r="E581" s="32"/>
      <c r="F581" s="32"/>
      <c r="G581" s="3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3"/>
      <c r="B582" s="9"/>
      <c r="C582" s="3"/>
      <c r="D582" s="33"/>
      <c r="E582" s="32"/>
      <c r="F582" s="32"/>
      <c r="G582" s="3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3"/>
      <c r="B583" s="9"/>
      <c r="C583" s="3"/>
      <c r="D583" s="33"/>
      <c r="E583" s="32"/>
      <c r="F583" s="32"/>
      <c r="G583" s="3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3"/>
      <c r="B584" s="9"/>
      <c r="C584" s="3"/>
      <c r="D584" s="33"/>
      <c r="E584" s="32"/>
      <c r="F584" s="32"/>
      <c r="G584" s="3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3"/>
      <c r="B585" s="9"/>
      <c r="C585" s="3"/>
      <c r="D585" s="33"/>
      <c r="E585" s="32"/>
      <c r="F585" s="32"/>
      <c r="G585" s="3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3"/>
      <c r="B586" s="9"/>
      <c r="C586" s="3"/>
      <c r="D586" s="33"/>
      <c r="E586" s="32"/>
      <c r="F586" s="32"/>
      <c r="G586" s="3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3"/>
      <c r="B587" s="9"/>
      <c r="C587" s="3"/>
      <c r="D587" s="33"/>
      <c r="E587" s="32"/>
      <c r="F587" s="32"/>
      <c r="G587" s="3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3"/>
      <c r="B588" s="9"/>
      <c r="C588" s="3"/>
      <c r="D588" s="33"/>
      <c r="E588" s="32"/>
      <c r="F588" s="32"/>
      <c r="G588" s="3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3"/>
      <c r="B589" s="9"/>
      <c r="C589" s="3"/>
      <c r="D589" s="33"/>
      <c r="E589" s="32"/>
      <c r="F589" s="32"/>
      <c r="G589" s="3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3"/>
      <c r="B590" s="9"/>
      <c r="C590" s="3"/>
      <c r="D590" s="33"/>
      <c r="E590" s="32"/>
      <c r="F590" s="32"/>
      <c r="G590" s="3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3"/>
      <c r="B591" s="9"/>
      <c r="C591" s="3"/>
      <c r="D591" s="33"/>
      <c r="E591" s="32"/>
      <c r="F591" s="32"/>
      <c r="G591" s="3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3"/>
      <c r="B592" s="9"/>
      <c r="C592" s="3"/>
      <c r="D592" s="33"/>
      <c r="E592" s="32"/>
      <c r="F592" s="32"/>
      <c r="G592" s="3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3"/>
      <c r="B593" s="9"/>
      <c r="C593" s="3"/>
      <c r="D593" s="33"/>
      <c r="E593" s="32"/>
      <c r="F593" s="32"/>
      <c r="G593" s="3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3"/>
      <c r="B594" s="9"/>
      <c r="C594" s="3"/>
      <c r="D594" s="33"/>
      <c r="E594" s="32"/>
      <c r="F594" s="32"/>
      <c r="G594" s="3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3"/>
      <c r="B595" s="9"/>
      <c r="C595" s="3"/>
      <c r="D595" s="33"/>
      <c r="E595" s="32"/>
      <c r="F595" s="32"/>
      <c r="G595" s="3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3"/>
      <c r="B596" s="9"/>
      <c r="C596" s="3"/>
      <c r="D596" s="33"/>
      <c r="E596" s="32"/>
      <c r="F596" s="32"/>
      <c r="G596" s="3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3"/>
      <c r="B597" s="9"/>
      <c r="C597" s="3"/>
      <c r="D597" s="33"/>
      <c r="E597" s="32"/>
      <c r="F597" s="32"/>
      <c r="G597" s="3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3"/>
      <c r="B598" s="9"/>
      <c r="C598" s="3"/>
      <c r="D598" s="33"/>
      <c r="E598" s="32"/>
      <c r="F598" s="32"/>
      <c r="G598" s="3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3"/>
      <c r="B599" s="9"/>
      <c r="C599" s="3"/>
      <c r="D599" s="33"/>
      <c r="E599" s="32"/>
      <c r="F599" s="32"/>
      <c r="G599" s="3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3"/>
      <c r="B600" s="9"/>
      <c r="C600" s="3"/>
      <c r="D600" s="33"/>
      <c r="E600" s="32"/>
      <c r="F600" s="32"/>
      <c r="G600" s="3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3"/>
      <c r="B601" s="9"/>
      <c r="C601" s="3"/>
      <c r="D601" s="33"/>
      <c r="E601" s="32"/>
      <c r="F601" s="32"/>
      <c r="G601" s="3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3"/>
      <c r="B602" s="9"/>
      <c r="C602" s="3"/>
      <c r="D602" s="33"/>
      <c r="E602" s="32"/>
      <c r="F602" s="32"/>
      <c r="G602" s="3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3"/>
      <c r="B603" s="9"/>
      <c r="C603" s="3"/>
      <c r="D603" s="33"/>
      <c r="E603" s="32"/>
      <c r="F603" s="32"/>
      <c r="G603" s="3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3"/>
      <c r="B604" s="9"/>
      <c r="C604" s="3"/>
      <c r="D604" s="33"/>
      <c r="E604" s="32"/>
      <c r="F604" s="32"/>
      <c r="G604" s="3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3"/>
      <c r="B605" s="9"/>
      <c r="C605" s="3"/>
      <c r="D605" s="33"/>
      <c r="E605" s="32"/>
      <c r="F605" s="32"/>
      <c r="G605" s="3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3"/>
      <c r="B606" s="9"/>
      <c r="C606" s="3"/>
      <c r="D606" s="33"/>
      <c r="E606" s="32"/>
      <c r="F606" s="32"/>
      <c r="G606" s="3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3"/>
      <c r="B607" s="9"/>
      <c r="C607" s="3"/>
      <c r="D607" s="33"/>
      <c r="E607" s="32"/>
      <c r="F607" s="32"/>
      <c r="G607" s="3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3"/>
      <c r="B608" s="9"/>
      <c r="C608" s="3"/>
      <c r="D608" s="33"/>
      <c r="E608" s="32"/>
      <c r="F608" s="32"/>
      <c r="G608" s="3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3"/>
      <c r="B609" s="9"/>
      <c r="C609" s="3"/>
      <c r="D609" s="33"/>
      <c r="E609" s="32"/>
      <c r="F609" s="32"/>
      <c r="G609" s="3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3"/>
      <c r="B610" s="9"/>
      <c r="C610" s="3"/>
      <c r="D610" s="33"/>
      <c r="E610" s="32"/>
      <c r="F610" s="32"/>
      <c r="G610" s="3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3"/>
      <c r="B611" s="9"/>
      <c r="C611" s="3"/>
      <c r="D611" s="33"/>
      <c r="E611" s="32"/>
      <c r="F611" s="32"/>
      <c r="G611" s="3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3"/>
      <c r="B612" s="9"/>
      <c r="C612" s="3"/>
      <c r="D612" s="33"/>
      <c r="E612" s="32"/>
      <c r="F612" s="32"/>
      <c r="G612" s="3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3"/>
      <c r="B613" s="9"/>
      <c r="C613" s="3"/>
      <c r="D613" s="33"/>
      <c r="E613" s="32"/>
      <c r="F613" s="32"/>
      <c r="G613" s="3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3"/>
      <c r="B614" s="9"/>
      <c r="C614" s="3"/>
      <c r="D614" s="33"/>
      <c r="E614" s="32"/>
      <c r="F614" s="32"/>
      <c r="G614" s="3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3"/>
      <c r="B615" s="9"/>
      <c r="C615" s="3"/>
      <c r="D615" s="33"/>
      <c r="E615" s="32"/>
      <c r="F615" s="32"/>
      <c r="G615" s="3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3"/>
      <c r="B616" s="9"/>
      <c r="C616" s="3"/>
      <c r="D616" s="33"/>
      <c r="E616" s="32"/>
      <c r="F616" s="32"/>
      <c r="G616" s="3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3"/>
      <c r="B617" s="9"/>
      <c r="C617" s="3"/>
      <c r="D617" s="33"/>
      <c r="E617" s="32"/>
      <c r="F617" s="32"/>
      <c r="G617" s="3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3"/>
      <c r="B618" s="9"/>
      <c r="C618" s="3"/>
      <c r="D618" s="33"/>
      <c r="E618" s="32"/>
      <c r="F618" s="32"/>
      <c r="G618" s="3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3"/>
      <c r="B619" s="9"/>
      <c r="C619" s="3"/>
      <c r="D619" s="33"/>
      <c r="E619" s="32"/>
      <c r="F619" s="32"/>
      <c r="G619" s="3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3"/>
      <c r="B620" s="9"/>
      <c r="C620" s="3"/>
      <c r="D620" s="33"/>
      <c r="E620" s="32"/>
      <c r="F620" s="32"/>
      <c r="G620" s="3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3"/>
      <c r="B621" s="9"/>
      <c r="C621" s="3"/>
      <c r="D621" s="33"/>
      <c r="E621" s="32"/>
      <c r="F621" s="32"/>
      <c r="G621" s="3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3"/>
      <c r="B622" s="9"/>
      <c r="C622" s="3"/>
      <c r="D622" s="33"/>
      <c r="E622" s="32"/>
      <c r="F622" s="32"/>
      <c r="G622" s="3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3"/>
      <c r="B623" s="9"/>
      <c r="C623" s="3"/>
      <c r="D623" s="33"/>
      <c r="E623" s="32"/>
      <c r="F623" s="32"/>
      <c r="G623" s="3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3"/>
      <c r="B624" s="9"/>
      <c r="C624" s="3"/>
      <c r="D624" s="33"/>
      <c r="E624" s="32"/>
      <c r="F624" s="32"/>
      <c r="G624" s="3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3"/>
      <c r="B625" s="9"/>
      <c r="C625" s="3"/>
      <c r="D625" s="33"/>
      <c r="E625" s="32"/>
      <c r="F625" s="32"/>
      <c r="G625" s="3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3"/>
      <c r="B626" s="9"/>
      <c r="C626" s="3"/>
      <c r="D626" s="33"/>
      <c r="E626" s="32"/>
      <c r="F626" s="32"/>
      <c r="G626" s="3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3"/>
      <c r="B627" s="9"/>
      <c r="C627" s="3"/>
      <c r="D627" s="33"/>
      <c r="E627" s="32"/>
      <c r="F627" s="32"/>
      <c r="G627" s="3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3"/>
      <c r="B628" s="9"/>
      <c r="C628" s="3"/>
      <c r="D628" s="33"/>
      <c r="E628" s="32"/>
      <c r="F628" s="32"/>
      <c r="G628" s="3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3"/>
      <c r="B629" s="9"/>
      <c r="C629" s="3"/>
      <c r="D629" s="33"/>
      <c r="E629" s="32"/>
      <c r="F629" s="32"/>
      <c r="G629" s="3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3"/>
      <c r="B630" s="9"/>
      <c r="C630" s="3"/>
      <c r="D630" s="33"/>
      <c r="E630" s="32"/>
      <c r="F630" s="32"/>
      <c r="G630" s="3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3"/>
      <c r="B631" s="9"/>
      <c r="C631" s="3"/>
      <c r="D631" s="33"/>
      <c r="E631" s="32"/>
      <c r="F631" s="32"/>
      <c r="G631" s="3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3"/>
      <c r="B632" s="9"/>
      <c r="C632" s="3"/>
      <c r="D632" s="33"/>
      <c r="E632" s="32"/>
      <c r="F632" s="32"/>
      <c r="G632" s="3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3"/>
      <c r="B633" s="9"/>
      <c r="C633" s="3"/>
      <c r="D633" s="33"/>
      <c r="E633" s="32"/>
      <c r="F633" s="32"/>
      <c r="G633" s="3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3"/>
      <c r="B634" s="9"/>
      <c r="C634" s="3"/>
      <c r="D634" s="33"/>
      <c r="E634" s="32"/>
      <c r="F634" s="32"/>
      <c r="G634" s="3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3"/>
      <c r="B635" s="9"/>
      <c r="C635" s="3"/>
      <c r="D635" s="33"/>
      <c r="E635" s="32"/>
      <c r="F635" s="32"/>
      <c r="G635" s="3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3"/>
      <c r="B636" s="9"/>
      <c r="C636" s="3"/>
      <c r="D636" s="33"/>
      <c r="E636" s="32"/>
      <c r="F636" s="32"/>
      <c r="G636" s="3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3"/>
      <c r="B637" s="9"/>
      <c r="C637" s="3"/>
      <c r="D637" s="33"/>
      <c r="E637" s="32"/>
      <c r="F637" s="32"/>
      <c r="G637" s="3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3"/>
      <c r="B638" s="9"/>
      <c r="C638" s="3"/>
      <c r="D638" s="33"/>
      <c r="E638" s="32"/>
      <c r="F638" s="32"/>
      <c r="G638" s="3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3"/>
      <c r="B639" s="9"/>
      <c r="C639" s="3"/>
      <c r="D639" s="33"/>
      <c r="E639" s="32"/>
      <c r="F639" s="32"/>
      <c r="G639" s="3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3"/>
      <c r="B640" s="9"/>
      <c r="C640" s="3"/>
      <c r="D640" s="33"/>
      <c r="E640" s="32"/>
      <c r="F640" s="32"/>
      <c r="G640" s="3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3"/>
      <c r="B641" s="9"/>
      <c r="C641" s="3"/>
      <c r="D641" s="33"/>
      <c r="E641" s="32"/>
      <c r="F641" s="32"/>
      <c r="G641" s="3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3"/>
      <c r="B642" s="9"/>
      <c r="C642" s="3"/>
      <c r="D642" s="33"/>
      <c r="E642" s="32"/>
      <c r="F642" s="32"/>
      <c r="G642" s="3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3"/>
      <c r="B643" s="9"/>
      <c r="C643" s="3"/>
      <c r="D643" s="33"/>
      <c r="E643" s="32"/>
      <c r="F643" s="32"/>
      <c r="G643" s="3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3"/>
      <c r="B644" s="9"/>
      <c r="C644" s="3"/>
      <c r="D644" s="33"/>
      <c r="E644" s="32"/>
      <c r="F644" s="32"/>
      <c r="G644" s="3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3"/>
      <c r="B645" s="9"/>
      <c r="C645" s="3"/>
      <c r="D645" s="33"/>
      <c r="E645" s="32"/>
      <c r="F645" s="32"/>
      <c r="G645" s="3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3"/>
      <c r="B646" s="9"/>
      <c r="C646" s="3"/>
      <c r="D646" s="33"/>
      <c r="E646" s="32"/>
      <c r="F646" s="32"/>
      <c r="G646" s="3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3"/>
      <c r="B647" s="9"/>
      <c r="C647" s="3"/>
      <c r="D647" s="33"/>
      <c r="E647" s="32"/>
      <c r="F647" s="32"/>
      <c r="G647" s="3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3"/>
      <c r="B648" s="9"/>
      <c r="C648" s="3"/>
      <c r="D648" s="33"/>
      <c r="E648" s="32"/>
      <c r="F648" s="32"/>
      <c r="G648" s="3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3"/>
      <c r="B649" s="9"/>
      <c r="C649" s="3"/>
      <c r="D649" s="33"/>
      <c r="E649" s="32"/>
      <c r="F649" s="32"/>
      <c r="G649" s="3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3"/>
      <c r="B650" s="9"/>
      <c r="C650" s="3"/>
      <c r="D650" s="33"/>
      <c r="E650" s="32"/>
      <c r="F650" s="32"/>
      <c r="G650" s="3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3"/>
      <c r="B651" s="9"/>
      <c r="C651" s="3"/>
      <c r="D651" s="33"/>
      <c r="E651" s="32"/>
      <c r="F651" s="32"/>
      <c r="G651" s="3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3"/>
      <c r="B652" s="9"/>
      <c r="C652" s="3"/>
      <c r="D652" s="33"/>
      <c r="E652" s="32"/>
      <c r="F652" s="32"/>
      <c r="G652" s="3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3"/>
      <c r="B653" s="9"/>
      <c r="C653" s="3"/>
      <c r="D653" s="33"/>
      <c r="E653" s="32"/>
      <c r="F653" s="32"/>
      <c r="G653" s="3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3"/>
      <c r="B654" s="9"/>
      <c r="C654" s="3"/>
      <c r="D654" s="33"/>
      <c r="E654" s="32"/>
      <c r="F654" s="32"/>
      <c r="G654" s="3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3"/>
      <c r="B655" s="9"/>
      <c r="C655" s="3"/>
      <c r="D655" s="33"/>
      <c r="E655" s="32"/>
      <c r="F655" s="32"/>
      <c r="G655" s="3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3"/>
      <c r="B656" s="9"/>
      <c r="C656" s="3"/>
      <c r="D656" s="33"/>
      <c r="E656" s="32"/>
      <c r="F656" s="32"/>
      <c r="G656" s="3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3"/>
      <c r="B657" s="9"/>
      <c r="C657" s="3"/>
      <c r="D657" s="33"/>
      <c r="E657" s="32"/>
      <c r="F657" s="32"/>
      <c r="G657" s="3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3"/>
      <c r="B658" s="9"/>
      <c r="C658" s="3"/>
      <c r="D658" s="33"/>
      <c r="E658" s="32"/>
      <c r="F658" s="32"/>
      <c r="G658" s="3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3"/>
      <c r="B659" s="9"/>
      <c r="C659" s="3"/>
      <c r="D659" s="33"/>
      <c r="E659" s="32"/>
      <c r="F659" s="32"/>
      <c r="G659" s="3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3"/>
      <c r="B660" s="9"/>
      <c r="C660" s="3"/>
      <c r="D660" s="33"/>
      <c r="E660" s="32"/>
      <c r="F660" s="32"/>
      <c r="G660" s="3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3"/>
      <c r="B661" s="9"/>
      <c r="C661" s="3"/>
      <c r="D661" s="33"/>
      <c r="E661" s="32"/>
      <c r="F661" s="32"/>
      <c r="G661" s="3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3"/>
      <c r="B662" s="9"/>
      <c r="C662" s="3"/>
      <c r="D662" s="33"/>
      <c r="E662" s="32"/>
      <c r="F662" s="32"/>
      <c r="G662" s="3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3"/>
      <c r="B663" s="9"/>
      <c r="C663" s="3"/>
      <c r="D663" s="33"/>
      <c r="E663" s="32"/>
      <c r="F663" s="32"/>
      <c r="G663" s="3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3"/>
      <c r="B664" s="9"/>
      <c r="C664" s="3"/>
      <c r="D664" s="33"/>
      <c r="E664" s="32"/>
      <c r="F664" s="32"/>
      <c r="G664" s="3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3"/>
      <c r="B665" s="9"/>
      <c r="C665" s="3"/>
      <c r="D665" s="33"/>
      <c r="E665" s="32"/>
      <c r="F665" s="32"/>
      <c r="G665" s="3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3"/>
      <c r="B666" s="9"/>
      <c r="C666" s="3"/>
      <c r="D666" s="33"/>
      <c r="E666" s="32"/>
      <c r="F666" s="32"/>
      <c r="G666" s="3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3"/>
      <c r="B667" s="9"/>
      <c r="C667" s="3"/>
      <c r="D667" s="33"/>
      <c r="E667" s="32"/>
      <c r="F667" s="32"/>
      <c r="G667" s="3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3"/>
      <c r="B668" s="9"/>
      <c r="C668" s="3"/>
      <c r="D668" s="33"/>
      <c r="E668" s="32"/>
      <c r="F668" s="32"/>
      <c r="G668" s="3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3"/>
      <c r="B669" s="9"/>
      <c r="C669" s="3"/>
      <c r="D669" s="33"/>
      <c r="E669" s="32"/>
      <c r="F669" s="32"/>
      <c r="G669" s="3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3"/>
      <c r="B670" s="9"/>
      <c r="C670" s="3"/>
      <c r="D670" s="33"/>
      <c r="E670" s="32"/>
      <c r="F670" s="32"/>
      <c r="G670" s="3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3"/>
      <c r="B671" s="9"/>
      <c r="C671" s="3"/>
      <c r="D671" s="33"/>
      <c r="E671" s="32"/>
      <c r="F671" s="32"/>
      <c r="G671" s="3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3"/>
      <c r="B672" s="9"/>
      <c r="C672" s="3"/>
      <c r="D672" s="33"/>
      <c r="E672" s="32"/>
      <c r="F672" s="32"/>
      <c r="G672" s="3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3"/>
      <c r="B673" s="9"/>
      <c r="C673" s="3"/>
      <c r="D673" s="33"/>
      <c r="E673" s="32"/>
      <c r="F673" s="32"/>
      <c r="G673" s="3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3"/>
      <c r="B674" s="9"/>
      <c r="C674" s="3"/>
      <c r="D674" s="33"/>
      <c r="E674" s="32"/>
      <c r="F674" s="32"/>
      <c r="G674" s="3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3"/>
      <c r="B675" s="9"/>
      <c r="C675" s="3"/>
      <c r="D675" s="33"/>
      <c r="E675" s="32"/>
      <c r="F675" s="32"/>
      <c r="G675" s="3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3"/>
      <c r="B676" s="9"/>
      <c r="C676" s="3"/>
      <c r="D676" s="33"/>
      <c r="E676" s="32"/>
      <c r="F676" s="32"/>
      <c r="G676" s="3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3"/>
      <c r="B677" s="9"/>
      <c r="C677" s="3"/>
      <c r="D677" s="33"/>
      <c r="E677" s="32"/>
      <c r="F677" s="32"/>
      <c r="G677" s="3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3"/>
      <c r="B678" s="9"/>
      <c r="C678" s="3"/>
      <c r="D678" s="33"/>
      <c r="E678" s="32"/>
      <c r="F678" s="32"/>
      <c r="G678" s="3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3"/>
      <c r="B679" s="9"/>
      <c r="C679" s="3"/>
      <c r="D679" s="33"/>
      <c r="E679" s="32"/>
      <c r="F679" s="32"/>
      <c r="G679" s="3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3"/>
      <c r="B680" s="9"/>
      <c r="C680" s="3"/>
      <c r="D680" s="33"/>
      <c r="E680" s="32"/>
      <c r="F680" s="32"/>
      <c r="G680" s="3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3"/>
      <c r="B681" s="9"/>
      <c r="C681" s="3"/>
      <c r="D681" s="33"/>
      <c r="E681" s="32"/>
      <c r="F681" s="32"/>
      <c r="G681" s="3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3"/>
      <c r="B682" s="9"/>
      <c r="C682" s="3"/>
      <c r="D682" s="33"/>
      <c r="E682" s="32"/>
      <c r="F682" s="32"/>
      <c r="G682" s="3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3"/>
      <c r="B683" s="9"/>
      <c r="C683" s="3"/>
      <c r="D683" s="33"/>
      <c r="E683" s="32"/>
      <c r="F683" s="32"/>
      <c r="G683" s="3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3"/>
      <c r="B684" s="9"/>
      <c r="C684" s="3"/>
      <c r="D684" s="33"/>
      <c r="E684" s="32"/>
      <c r="F684" s="32"/>
      <c r="G684" s="3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3"/>
      <c r="B685" s="9"/>
      <c r="C685" s="3"/>
      <c r="D685" s="33"/>
      <c r="E685" s="32"/>
      <c r="F685" s="32"/>
      <c r="G685" s="3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3"/>
      <c r="B686" s="9"/>
      <c r="C686" s="3"/>
      <c r="D686" s="33"/>
      <c r="E686" s="32"/>
      <c r="F686" s="32"/>
      <c r="G686" s="3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3"/>
      <c r="B687" s="9"/>
      <c r="C687" s="3"/>
      <c r="D687" s="33"/>
      <c r="E687" s="32"/>
      <c r="F687" s="32"/>
      <c r="G687" s="3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3"/>
      <c r="B688" s="9"/>
      <c r="C688" s="3"/>
      <c r="D688" s="33"/>
      <c r="E688" s="32"/>
      <c r="F688" s="32"/>
      <c r="G688" s="3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3"/>
      <c r="B689" s="9"/>
      <c r="C689" s="3"/>
      <c r="D689" s="33"/>
      <c r="E689" s="32"/>
      <c r="F689" s="32"/>
      <c r="G689" s="3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3"/>
      <c r="B690" s="9"/>
      <c r="C690" s="3"/>
      <c r="D690" s="33"/>
      <c r="E690" s="32"/>
      <c r="F690" s="32"/>
      <c r="G690" s="3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3"/>
      <c r="B691" s="9"/>
      <c r="C691" s="3"/>
      <c r="D691" s="33"/>
      <c r="E691" s="32"/>
      <c r="F691" s="32"/>
      <c r="G691" s="3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3"/>
      <c r="B692" s="9"/>
      <c r="C692" s="3"/>
      <c r="D692" s="33"/>
      <c r="E692" s="32"/>
      <c r="F692" s="32"/>
      <c r="G692" s="3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3"/>
      <c r="B693" s="9"/>
      <c r="C693" s="3"/>
      <c r="D693" s="33"/>
      <c r="E693" s="32"/>
      <c r="F693" s="32"/>
      <c r="G693" s="3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3"/>
      <c r="B694" s="9"/>
      <c r="C694" s="3"/>
      <c r="D694" s="33"/>
      <c r="E694" s="32"/>
      <c r="F694" s="32"/>
      <c r="G694" s="3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3"/>
      <c r="B695" s="9"/>
      <c r="C695" s="3"/>
      <c r="D695" s="33"/>
      <c r="E695" s="32"/>
      <c r="F695" s="32"/>
      <c r="G695" s="3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3"/>
      <c r="B696" s="9"/>
      <c r="C696" s="3"/>
      <c r="D696" s="33"/>
      <c r="E696" s="32"/>
      <c r="F696" s="32"/>
      <c r="G696" s="3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3"/>
      <c r="B697" s="9"/>
      <c r="C697" s="3"/>
      <c r="D697" s="33"/>
      <c r="E697" s="32"/>
      <c r="F697" s="32"/>
      <c r="G697" s="3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3"/>
      <c r="B698" s="9"/>
      <c r="C698" s="3"/>
      <c r="D698" s="33"/>
      <c r="E698" s="32"/>
      <c r="F698" s="32"/>
      <c r="G698" s="3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3"/>
      <c r="B699" s="9"/>
      <c r="C699" s="3"/>
      <c r="D699" s="33"/>
      <c r="E699" s="32"/>
      <c r="F699" s="32"/>
      <c r="G699" s="3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3"/>
      <c r="B700" s="9"/>
      <c r="C700" s="3"/>
      <c r="D700" s="33"/>
      <c r="E700" s="32"/>
      <c r="F700" s="32"/>
      <c r="G700" s="3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3"/>
      <c r="B701" s="9"/>
      <c r="C701" s="3"/>
      <c r="D701" s="33"/>
      <c r="E701" s="32"/>
      <c r="F701" s="32"/>
      <c r="G701" s="3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3"/>
      <c r="B702" s="9"/>
      <c r="C702" s="3"/>
      <c r="D702" s="33"/>
      <c r="E702" s="32"/>
      <c r="F702" s="32"/>
      <c r="G702" s="3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3"/>
      <c r="B703" s="9"/>
      <c r="C703" s="3"/>
      <c r="D703" s="33"/>
      <c r="E703" s="32"/>
      <c r="F703" s="32"/>
      <c r="G703" s="3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3"/>
      <c r="B704" s="9"/>
      <c r="C704" s="3"/>
      <c r="D704" s="33"/>
      <c r="E704" s="32"/>
      <c r="F704" s="32"/>
      <c r="G704" s="3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3"/>
      <c r="B705" s="9"/>
      <c r="C705" s="3"/>
      <c r="D705" s="33"/>
      <c r="E705" s="32"/>
      <c r="F705" s="32"/>
      <c r="G705" s="3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3"/>
      <c r="B706" s="9"/>
      <c r="C706" s="3"/>
      <c r="D706" s="33"/>
      <c r="E706" s="32"/>
      <c r="F706" s="32"/>
      <c r="G706" s="3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3"/>
      <c r="B707" s="9"/>
      <c r="C707" s="3"/>
      <c r="D707" s="33"/>
      <c r="E707" s="32"/>
      <c r="F707" s="32"/>
      <c r="G707" s="3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3"/>
      <c r="B708" s="9"/>
      <c r="C708" s="3"/>
      <c r="D708" s="33"/>
      <c r="E708" s="32"/>
      <c r="F708" s="32"/>
      <c r="G708" s="3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3"/>
      <c r="B709" s="9"/>
      <c r="C709" s="3"/>
      <c r="D709" s="33"/>
      <c r="E709" s="32"/>
      <c r="F709" s="32"/>
      <c r="G709" s="3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3"/>
      <c r="B710" s="9"/>
      <c r="C710" s="3"/>
      <c r="D710" s="33"/>
      <c r="E710" s="32"/>
      <c r="F710" s="32"/>
      <c r="G710" s="3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3"/>
      <c r="B711" s="9"/>
      <c r="C711" s="3"/>
      <c r="D711" s="33"/>
      <c r="E711" s="32"/>
      <c r="F711" s="32"/>
      <c r="G711" s="3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3"/>
      <c r="B712" s="9"/>
      <c r="C712" s="3"/>
      <c r="D712" s="33"/>
      <c r="E712" s="32"/>
      <c r="F712" s="32"/>
      <c r="G712" s="3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3"/>
      <c r="B713" s="9"/>
      <c r="C713" s="3"/>
      <c r="D713" s="33"/>
      <c r="E713" s="32"/>
      <c r="F713" s="32"/>
      <c r="G713" s="3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3"/>
      <c r="B714" s="9"/>
      <c r="C714" s="3"/>
      <c r="D714" s="33"/>
      <c r="E714" s="32"/>
      <c r="F714" s="32"/>
      <c r="G714" s="3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3"/>
      <c r="B715" s="9"/>
      <c r="C715" s="3"/>
      <c r="D715" s="33"/>
      <c r="E715" s="32"/>
      <c r="F715" s="32"/>
      <c r="G715" s="3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3"/>
      <c r="B716" s="9"/>
      <c r="C716" s="3"/>
      <c r="D716" s="33"/>
      <c r="E716" s="32"/>
      <c r="F716" s="32"/>
      <c r="G716" s="3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3"/>
      <c r="B717" s="9"/>
      <c r="C717" s="3"/>
      <c r="D717" s="33"/>
      <c r="E717" s="32"/>
      <c r="F717" s="32"/>
      <c r="G717" s="3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3"/>
      <c r="B718" s="9"/>
      <c r="C718" s="3"/>
      <c r="D718" s="33"/>
      <c r="E718" s="32"/>
      <c r="F718" s="32"/>
      <c r="G718" s="3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3"/>
      <c r="B719" s="9"/>
      <c r="C719" s="3"/>
      <c r="D719" s="33"/>
      <c r="E719" s="32"/>
      <c r="F719" s="32"/>
      <c r="G719" s="3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3"/>
      <c r="B720" s="9"/>
      <c r="C720" s="3"/>
      <c r="D720" s="33"/>
      <c r="E720" s="32"/>
      <c r="F720" s="32"/>
      <c r="G720" s="3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3"/>
      <c r="B721" s="9"/>
      <c r="C721" s="3"/>
      <c r="D721" s="33"/>
      <c r="E721" s="32"/>
      <c r="F721" s="32"/>
      <c r="G721" s="3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3"/>
      <c r="B722" s="9"/>
      <c r="C722" s="3"/>
      <c r="D722" s="33"/>
      <c r="E722" s="32"/>
      <c r="F722" s="32"/>
      <c r="G722" s="3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3"/>
      <c r="B723" s="9"/>
      <c r="C723" s="3"/>
      <c r="D723" s="33"/>
      <c r="E723" s="32"/>
      <c r="F723" s="32"/>
      <c r="G723" s="3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3"/>
      <c r="B724" s="9"/>
      <c r="C724" s="3"/>
      <c r="D724" s="33"/>
      <c r="E724" s="32"/>
      <c r="F724" s="32"/>
      <c r="G724" s="3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3"/>
      <c r="B725" s="9"/>
      <c r="C725" s="3"/>
      <c r="D725" s="33"/>
      <c r="E725" s="32"/>
      <c r="F725" s="32"/>
      <c r="G725" s="3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3"/>
      <c r="B726" s="9"/>
      <c r="C726" s="3"/>
      <c r="D726" s="33"/>
      <c r="E726" s="32"/>
      <c r="F726" s="32"/>
      <c r="G726" s="3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3"/>
      <c r="B727" s="9"/>
      <c r="C727" s="3"/>
      <c r="D727" s="33"/>
      <c r="E727" s="32"/>
      <c r="F727" s="32"/>
      <c r="G727" s="3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3"/>
      <c r="B728" s="9"/>
      <c r="C728" s="3"/>
      <c r="D728" s="33"/>
      <c r="E728" s="32"/>
      <c r="F728" s="32"/>
      <c r="G728" s="3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3"/>
      <c r="B729" s="9"/>
      <c r="C729" s="3"/>
      <c r="D729" s="33"/>
      <c r="E729" s="32"/>
      <c r="F729" s="32"/>
      <c r="G729" s="3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3"/>
      <c r="B730" s="9"/>
      <c r="C730" s="3"/>
      <c r="D730" s="33"/>
      <c r="E730" s="32"/>
      <c r="F730" s="32"/>
      <c r="G730" s="3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3"/>
      <c r="B731" s="9"/>
      <c r="C731" s="3"/>
      <c r="D731" s="33"/>
      <c r="E731" s="32"/>
      <c r="F731" s="32"/>
      <c r="G731" s="3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3"/>
      <c r="B732" s="9"/>
      <c r="C732" s="3"/>
      <c r="D732" s="33"/>
      <c r="E732" s="32"/>
      <c r="F732" s="32"/>
      <c r="G732" s="3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3"/>
      <c r="B733" s="9"/>
      <c r="C733" s="3"/>
      <c r="D733" s="33"/>
      <c r="E733" s="32"/>
      <c r="F733" s="32"/>
      <c r="G733" s="3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3"/>
      <c r="B734" s="9"/>
      <c r="C734" s="3"/>
      <c r="D734" s="33"/>
      <c r="E734" s="32"/>
      <c r="F734" s="32"/>
      <c r="G734" s="3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3"/>
      <c r="B735" s="9"/>
      <c r="C735" s="3"/>
      <c r="D735" s="33"/>
      <c r="E735" s="32"/>
      <c r="F735" s="32"/>
      <c r="G735" s="3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3"/>
      <c r="B736" s="9"/>
      <c r="C736" s="3"/>
      <c r="D736" s="33"/>
      <c r="E736" s="32"/>
      <c r="F736" s="32"/>
      <c r="G736" s="3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3"/>
      <c r="B737" s="9"/>
      <c r="C737" s="3"/>
      <c r="D737" s="33"/>
      <c r="E737" s="32"/>
      <c r="F737" s="32"/>
      <c r="G737" s="3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3"/>
      <c r="B738" s="9"/>
      <c r="C738" s="3"/>
      <c r="D738" s="33"/>
      <c r="E738" s="32"/>
      <c r="F738" s="32"/>
      <c r="G738" s="3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3"/>
      <c r="B739" s="9"/>
      <c r="C739" s="3"/>
      <c r="D739" s="33"/>
      <c r="E739" s="32"/>
      <c r="F739" s="32"/>
      <c r="G739" s="3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3"/>
      <c r="B740" s="9"/>
      <c r="C740" s="3"/>
      <c r="D740" s="33"/>
      <c r="E740" s="32"/>
      <c r="F740" s="32"/>
      <c r="G740" s="3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3"/>
      <c r="B741" s="9"/>
      <c r="C741" s="3"/>
      <c r="D741" s="33"/>
      <c r="E741" s="32"/>
      <c r="F741" s="32"/>
      <c r="G741" s="3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3"/>
      <c r="B742" s="9"/>
      <c r="C742" s="3"/>
      <c r="D742" s="33"/>
      <c r="E742" s="32"/>
      <c r="F742" s="32"/>
      <c r="G742" s="3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3"/>
      <c r="B743" s="9"/>
      <c r="C743" s="3"/>
      <c r="D743" s="33"/>
      <c r="E743" s="32"/>
      <c r="F743" s="32"/>
      <c r="G743" s="3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3"/>
      <c r="B744" s="9"/>
      <c r="C744" s="3"/>
      <c r="D744" s="33"/>
      <c r="E744" s="32"/>
      <c r="F744" s="32"/>
      <c r="G744" s="3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3"/>
      <c r="B745" s="9"/>
      <c r="C745" s="3"/>
      <c r="D745" s="33"/>
      <c r="E745" s="32"/>
      <c r="F745" s="32"/>
      <c r="G745" s="3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3"/>
      <c r="B746" s="9"/>
      <c r="C746" s="3"/>
      <c r="D746" s="33"/>
      <c r="E746" s="32"/>
      <c r="F746" s="32"/>
      <c r="G746" s="3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3"/>
      <c r="B747" s="9"/>
      <c r="C747" s="3"/>
      <c r="D747" s="33"/>
      <c r="E747" s="32"/>
      <c r="F747" s="32"/>
      <c r="G747" s="3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3"/>
      <c r="B748" s="9"/>
      <c r="C748" s="3"/>
      <c r="D748" s="33"/>
      <c r="E748" s="32"/>
      <c r="F748" s="32"/>
      <c r="G748" s="3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3"/>
      <c r="B749" s="9"/>
      <c r="C749" s="3"/>
      <c r="D749" s="33"/>
      <c r="E749" s="32"/>
      <c r="F749" s="32"/>
      <c r="G749" s="3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3"/>
      <c r="B750" s="9"/>
      <c r="C750" s="3"/>
      <c r="D750" s="33"/>
      <c r="E750" s="32"/>
      <c r="F750" s="32"/>
      <c r="G750" s="3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3"/>
      <c r="B751" s="9"/>
      <c r="C751" s="3"/>
      <c r="D751" s="33"/>
      <c r="E751" s="32"/>
      <c r="F751" s="32"/>
      <c r="G751" s="3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3"/>
      <c r="B752" s="9"/>
      <c r="C752" s="3"/>
      <c r="D752" s="33"/>
      <c r="E752" s="32"/>
      <c r="F752" s="32"/>
      <c r="G752" s="3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3"/>
      <c r="B753" s="9"/>
      <c r="C753" s="3"/>
      <c r="D753" s="33"/>
      <c r="E753" s="32"/>
      <c r="F753" s="32"/>
      <c r="G753" s="3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3"/>
      <c r="B754" s="9"/>
      <c r="C754" s="3"/>
      <c r="D754" s="33"/>
      <c r="E754" s="32"/>
      <c r="F754" s="32"/>
      <c r="G754" s="3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3"/>
      <c r="B755" s="9"/>
      <c r="C755" s="3"/>
      <c r="D755" s="33"/>
      <c r="E755" s="32"/>
      <c r="F755" s="32"/>
      <c r="G755" s="3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3"/>
      <c r="B756" s="9"/>
      <c r="C756" s="3"/>
      <c r="D756" s="33"/>
      <c r="E756" s="32"/>
      <c r="F756" s="32"/>
      <c r="G756" s="3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3"/>
      <c r="B757" s="9"/>
      <c r="C757" s="3"/>
      <c r="D757" s="33"/>
      <c r="E757" s="32"/>
      <c r="F757" s="32"/>
      <c r="G757" s="3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3"/>
      <c r="B758" s="9"/>
      <c r="C758" s="3"/>
      <c r="D758" s="33"/>
      <c r="E758" s="32"/>
      <c r="F758" s="32"/>
      <c r="G758" s="3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3"/>
      <c r="B759" s="9"/>
      <c r="C759" s="3"/>
      <c r="D759" s="33"/>
      <c r="E759" s="32"/>
      <c r="F759" s="32"/>
      <c r="G759" s="3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3"/>
      <c r="B760" s="9"/>
      <c r="C760" s="3"/>
      <c r="D760" s="33"/>
      <c r="E760" s="32"/>
      <c r="F760" s="32"/>
      <c r="G760" s="3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3"/>
      <c r="B761" s="9"/>
      <c r="C761" s="3"/>
      <c r="D761" s="33"/>
      <c r="E761" s="32"/>
      <c r="F761" s="32"/>
      <c r="G761" s="3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3"/>
      <c r="B762" s="9"/>
      <c r="C762" s="3"/>
      <c r="D762" s="33"/>
      <c r="E762" s="32"/>
      <c r="F762" s="32"/>
      <c r="G762" s="3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3"/>
      <c r="B763" s="9"/>
      <c r="C763" s="3"/>
      <c r="D763" s="33"/>
      <c r="E763" s="32"/>
      <c r="F763" s="32"/>
      <c r="G763" s="3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3"/>
      <c r="B764" s="9"/>
      <c r="C764" s="3"/>
      <c r="D764" s="33"/>
      <c r="E764" s="32"/>
      <c r="F764" s="32"/>
      <c r="G764" s="3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3"/>
      <c r="B765" s="9"/>
      <c r="C765" s="3"/>
      <c r="D765" s="33"/>
      <c r="E765" s="32"/>
      <c r="F765" s="32"/>
      <c r="G765" s="3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3"/>
      <c r="B766" s="9"/>
      <c r="C766" s="3"/>
      <c r="D766" s="33"/>
      <c r="E766" s="32"/>
      <c r="F766" s="32"/>
      <c r="G766" s="3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3"/>
      <c r="B767" s="9"/>
      <c r="C767" s="3"/>
      <c r="D767" s="33"/>
      <c r="E767" s="32"/>
      <c r="F767" s="32"/>
      <c r="G767" s="3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3"/>
      <c r="B768" s="9"/>
      <c r="C768" s="3"/>
      <c r="D768" s="33"/>
      <c r="E768" s="32"/>
      <c r="F768" s="32"/>
      <c r="G768" s="3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3"/>
      <c r="B769" s="9"/>
      <c r="C769" s="3"/>
      <c r="D769" s="33"/>
      <c r="E769" s="32"/>
      <c r="F769" s="32"/>
      <c r="G769" s="3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3"/>
      <c r="B770" s="9"/>
      <c r="C770" s="3"/>
      <c r="D770" s="33"/>
      <c r="E770" s="32"/>
      <c r="F770" s="32"/>
      <c r="G770" s="3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3"/>
      <c r="B771" s="9"/>
      <c r="C771" s="3"/>
      <c r="D771" s="33"/>
      <c r="E771" s="32"/>
      <c r="F771" s="32"/>
      <c r="G771" s="3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3"/>
      <c r="B772" s="9"/>
      <c r="C772" s="3"/>
      <c r="D772" s="33"/>
      <c r="E772" s="32"/>
      <c r="F772" s="32"/>
      <c r="G772" s="3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3"/>
      <c r="B773" s="9"/>
      <c r="C773" s="3"/>
      <c r="D773" s="33"/>
      <c r="E773" s="32"/>
      <c r="F773" s="32"/>
      <c r="G773" s="3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3"/>
      <c r="B774" s="9"/>
      <c r="C774" s="3"/>
      <c r="D774" s="33"/>
      <c r="E774" s="32"/>
      <c r="F774" s="32"/>
      <c r="G774" s="3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3"/>
      <c r="B775" s="9"/>
      <c r="C775" s="3"/>
      <c r="D775" s="33"/>
      <c r="E775" s="32"/>
      <c r="F775" s="32"/>
      <c r="G775" s="3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3"/>
      <c r="B776" s="9"/>
      <c r="C776" s="3"/>
      <c r="D776" s="33"/>
      <c r="E776" s="32"/>
      <c r="F776" s="32"/>
      <c r="G776" s="3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3"/>
      <c r="B777" s="9"/>
      <c r="C777" s="3"/>
      <c r="D777" s="33"/>
      <c r="E777" s="32"/>
      <c r="F777" s="32"/>
      <c r="G777" s="3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3"/>
      <c r="B778" s="9"/>
      <c r="C778" s="3"/>
      <c r="D778" s="33"/>
      <c r="E778" s="32"/>
      <c r="F778" s="32"/>
      <c r="G778" s="3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3"/>
      <c r="B779" s="9"/>
      <c r="C779" s="3"/>
      <c r="D779" s="33"/>
      <c r="E779" s="32"/>
      <c r="F779" s="32"/>
      <c r="G779" s="3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3"/>
      <c r="B780" s="9"/>
      <c r="C780" s="3"/>
      <c r="D780" s="33"/>
      <c r="E780" s="32"/>
      <c r="F780" s="32"/>
      <c r="G780" s="3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3"/>
      <c r="B781" s="9"/>
      <c r="C781" s="3"/>
      <c r="D781" s="33"/>
      <c r="E781" s="32"/>
      <c r="F781" s="32"/>
      <c r="G781" s="3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3"/>
      <c r="B782" s="9"/>
      <c r="C782" s="3"/>
      <c r="D782" s="33"/>
      <c r="E782" s="32"/>
      <c r="F782" s="32"/>
      <c r="G782" s="3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3"/>
      <c r="B783" s="9"/>
      <c r="C783" s="3"/>
      <c r="D783" s="33"/>
      <c r="E783" s="32"/>
      <c r="F783" s="32"/>
      <c r="G783" s="3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3"/>
      <c r="B784" s="9"/>
      <c r="C784" s="3"/>
      <c r="D784" s="33"/>
      <c r="E784" s="32"/>
      <c r="F784" s="32"/>
      <c r="G784" s="3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3"/>
      <c r="B785" s="9"/>
      <c r="C785" s="3"/>
      <c r="D785" s="33"/>
      <c r="E785" s="32"/>
      <c r="F785" s="32"/>
      <c r="G785" s="3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3"/>
      <c r="B786" s="9"/>
      <c r="C786" s="3"/>
      <c r="D786" s="33"/>
      <c r="E786" s="32"/>
      <c r="F786" s="32"/>
      <c r="G786" s="3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3"/>
      <c r="B787" s="9"/>
      <c r="C787" s="3"/>
      <c r="D787" s="33"/>
      <c r="E787" s="32"/>
      <c r="F787" s="32"/>
      <c r="G787" s="3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3"/>
      <c r="B788" s="9"/>
      <c r="C788" s="3"/>
      <c r="D788" s="33"/>
      <c r="E788" s="32"/>
      <c r="F788" s="32"/>
      <c r="G788" s="3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3"/>
      <c r="B789" s="9"/>
      <c r="C789" s="3"/>
      <c r="D789" s="33"/>
      <c r="E789" s="32"/>
      <c r="F789" s="32"/>
      <c r="G789" s="3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3"/>
      <c r="B790" s="9"/>
      <c r="C790" s="3"/>
      <c r="D790" s="33"/>
      <c r="E790" s="32"/>
      <c r="F790" s="32"/>
      <c r="G790" s="3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3"/>
      <c r="B791" s="9"/>
      <c r="C791" s="3"/>
      <c r="D791" s="33"/>
      <c r="E791" s="32"/>
      <c r="F791" s="32"/>
      <c r="G791" s="3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3"/>
      <c r="B792" s="9"/>
      <c r="C792" s="3"/>
      <c r="D792" s="33"/>
      <c r="E792" s="32"/>
      <c r="F792" s="32"/>
      <c r="G792" s="3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3"/>
      <c r="B793" s="9"/>
      <c r="C793" s="3"/>
      <c r="D793" s="33"/>
      <c r="E793" s="32"/>
      <c r="F793" s="32"/>
      <c r="G793" s="3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3"/>
      <c r="B794" s="9"/>
      <c r="C794" s="3"/>
      <c r="D794" s="33"/>
      <c r="E794" s="32"/>
      <c r="F794" s="32"/>
      <c r="G794" s="3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3"/>
      <c r="B795" s="9"/>
      <c r="C795" s="3"/>
      <c r="D795" s="33"/>
      <c r="E795" s="32"/>
      <c r="F795" s="32"/>
      <c r="G795" s="3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3"/>
      <c r="B796" s="9"/>
      <c r="C796" s="3"/>
      <c r="D796" s="33"/>
      <c r="E796" s="32"/>
      <c r="F796" s="32"/>
      <c r="G796" s="3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3"/>
      <c r="B797" s="9"/>
      <c r="C797" s="3"/>
      <c r="D797" s="33"/>
      <c r="E797" s="32"/>
      <c r="F797" s="32"/>
      <c r="G797" s="3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3"/>
      <c r="B798" s="9"/>
      <c r="C798" s="3"/>
      <c r="D798" s="33"/>
      <c r="E798" s="32"/>
      <c r="F798" s="32"/>
      <c r="G798" s="3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3"/>
      <c r="B799" s="9"/>
      <c r="C799" s="3"/>
      <c r="D799" s="33"/>
      <c r="E799" s="32"/>
      <c r="F799" s="32"/>
      <c r="G799" s="3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3"/>
      <c r="B800" s="9"/>
      <c r="C800" s="3"/>
      <c r="D800" s="33"/>
      <c r="E800" s="32"/>
      <c r="F800" s="32"/>
      <c r="G800" s="3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3"/>
      <c r="B801" s="9"/>
      <c r="C801" s="3"/>
      <c r="D801" s="33"/>
      <c r="E801" s="32"/>
      <c r="F801" s="32"/>
      <c r="G801" s="3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3"/>
      <c r="B802" s="9"/>
      <c r="C802" s="3"/>
      <c r="D802" s="33"/>
      <c r="E802" s="32"/>
      <c r="F802" s="32"/>
      <c r="G802" s="3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3"/>
      <c r="B803" s="9"/>
      <c r="C803" s="3"/>
      <c r="D803" s="33"/>
      <c r="E803" s="32"/>
      <c r="F803" s="32"/>
      <c r="G803" s="3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3"/>
      <c r="B804" s="9"/>
      <c r="C804" s="3"/>
      <c r="D804" s="33"/>
      <c r="E804" s="32"/>
      <c r="F804" s="32"/>
      <c r="G804" s="3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3"/>
      <c r="B805" s="9"/>
      <c r="C805" s="3"/>
      <c r="D805" s="33"/>
      <c r="E805" s="32"/>
      <c r="F805" s="32"/>
      <c r="G805" s="3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3"/>
      <c r="B806" s="9"/>
      <c r="C806" s="3"/>
      <c r="D806" s="33"/>
      <c r="E806" s="32"/>
      <c r="F806" s="32"/>
      <c r="G806" s="3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3"/>
      <c r="B807" s="9"/>
      <c r="C807" s="3"/>
      <c r="D807" s="33"/>
      <c r="E807" s="32"/>
      <c r="F807" s="32"/>
      <c r="G807" s="3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3"/>
      <c r="B808" s="9"/>
      <c r="C808" s="3"/>
      <c r="D808" s="33"/>
      <c r="E808" s="32"/>
      <c r="F808" s="32"/>
      <c r="G808" s="3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3"/>
      <c r="B809" s="9"/>
      <c r="C809" s="3"/>
      <c r="D809" s="33"/>
      <c r="E809" s="32"/>
      <c r="F809" s="32"/>
      <c r="G809" s="3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3"/>
      <c r="B810" s="9"/>
      <c r="C810" s="3"/>
      <c r="D810" s="33"/>
      <c r="E810" s="32"/>
      <c r="F810" s="32"/>
      <c r="G810" s="3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3"/>
      <c r="B811" s="9"/>
      <c r="C811" s="3"/>
      <c r="D811" s="33"/>
      <c r="E811" s="32"/>
      <c r="F811" s="32"/>
      <c r="G811" s="3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3"/>
      <c r="B812" s="9"/>
      <c r="C812" s="3"/>
      <c r="D812" s="33"/>
      <c r="E812" s="32"/>
      <c r="F812" s="32"/>
      <c r="G812" s="3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3"/>
      <c r="B813" s="9"/>
      <c r="C813" s="3"/>
      <c r="D813" s="33"/>
      <c r="E813" s="32"/>
      <c r="F813" s="32"/>
      <c r="G813" s="3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3"/>
      <c r="B814" s="9"/>
      <c r="C814" s="3"/>
      <c r="D814" s="33"/>
      <c r="E814" s="32"/>
      <c r="F814" s="32"/>
      <c r="G814" s="3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3"/>
      <c r="B815" s="9"/>
      <c r="C815" s="3"/>
      <c r="D815" s="33"/>
      <c r="E815" s="32"/>
      <c r="F815" s="32"/>
      <c r="G815" s="3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3"/>
      <c r="B816" s="9"/>
      <c r="C816" s="3"/>
      <c r="D816" s="33"/>
      <c r="E816" s="32"/>
      <c r="F816" s="32"/>
      <c r="G816" s="3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3"/>
      <c r="B817" s="9"/>
      <c r="C817" s="3"/>
      <c r="D817" s="33"/>
      <c r="E817" s="32"/>
      <c r="F817" s="32"/>
      <c r="G817" s="3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3"/>
      <c r="B818" s="9"/>
      <c r="C818" s="3"/>
      <c r="D818" s="33"/>
      <c r="E818" s="32"/>
      <c r="F818" s="32"/>
      <c r="G818" s="3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3"/>
      <c r="B819" s="9"/>
      <c r="C819" s="3"/>
      <c r="D819" s="33"/>
      <c r="E819" s="32"/>
      <c r="F819" s="32"/>
      <c r="G819" s="3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3"/>
      <c r="B820" s="9"/>
      <c r="C820" s="3"/>
      <c r="D820" s="33"/>
      <c r="E820" s="32"/>
      <c r="F820" s="32"/>
      <c r="G820" s="3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3"/>
      <c r="B821" s="9"/>
      <c r="C821" s="3"/>
      <c r="D821" s="33"/>
      <c r="E821" s="32"/>
      <c r="F821" s="32"/>
      <c r="G821" s="3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3"/>
      <c r="B822" s="9"/>
      <c r="C822" s="3"/>
      <c r="D822" s="33"/>
      <c r="E822" s="32"/>
      <c r="F822" s="32"/>
      <c r="G822" s="3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3"/>
      <c r="B823" s="9"/>
      <c r="C823" s="3"/>
      <c r="D823" s="33"/>
      <c r="E823" s="32"/>
      <c r="F823" s="32"/>
      <c r="G823" s="3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3"/>
      <c r="B824" s="9"/>
      <c r="C824" s="3"/>
      <c r="D824" s="33"/>
      <c r="E824" s="32"/>
      <c r="F824" s="32"/>
      <c r="G824" s="3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3"/>
      <c r="B825" s="9"/>
      <c r="C825" s="3"/>
      <c r="D825" s="33"/>
      <c r="E825" s="32"/>
      <c r="F825" s="32"/>
      <c r="G825" s="3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3"/>
      <c r="B826" s="9"/>
      <c r="C826" s="3"/>
      <c r="D826" s="33"/>
      <c r="E826" s="32"/>
      <c r="F826" s="32"/>
      <c r="G826" s="3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3"/>
      <c r="B827" s="9"/>
      <c r="C827" s="3"/>
      <c r="D827" s="33"/>
      <c r="E827" s="32"/>
      <c r="F827" s="32"/>
      <c r="G827" s="3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3"/>
      <c r="B828" s="9"/>
      <c r="C828" s="3"/>
      <c r="D828" s="33"/>
      <c r="E828" s="32"/>
      <c r="F828" s="32"/>
      <c r="G828" s="3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3"/>
      <c r="B829" s="9"/>
      <c r="C829" s="3"/>
      <c r="D829" s="33"/>
      <c r="E829" s="32"/>
      <c r="F829" s="32"/>
      <c r="G829" s="3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3"/>
      <c r="B830" s="9"/>
      <c r="C830" s="3"/>
      <c r="D830" s="33"/>
      <c r="E830" s="32"/>
      <c r="F830" s="32"/>
      <c r="G830" s="3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3"/>
      <c r="B831" s="9"/>
      <c r="C831" s="3"/>
      <c r="D831" s="33"/>
      <c r="E831" s="32"/>
      <c r="F831" s="32"/>
      <c r="G831" s="3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3"/>
      <c r="B832" s="9"/>
      <c r="C832" s="3"/>
      <c r="D832" s="33"/>
      <c r="E832" s="32"/>
      <c r="F832" s="32"/>
      <c r="G832" s="3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3"/>
      <c r="B833" s="9"/>
      <c r="C833" s="3"/>
      <c r="D833" s="33"/>
      <c r="E833" s="32"/>
      <c r="F833" s="32"/>
      <c r="G833" s="3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3"/>
      <c r="B834" s="9"/>
      <c r="C834" s="3"/>
      <c r="D834" s="33"/>
      <c r="E834" s="32"/>
      <c r="F834" s="32"/>
      <c r="G834" s="3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3"/>
      <c r="B835" s="9"/>
      <c r="C835" s="3"/>
      <c r="D835" s="33"/>
      <c r="E835" s="32"/>
      <c r="F835" s="32"/>
      <c r="G835" s="3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3"/>
      <c r="B836" s="9"/>
      <c r="C836" s="3"/>
      <c r="D836" s="33"/>
      <c r="E836" s="32"/>
      <c r="F836" s="32"/>
      <c r="G836" s="3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3"/>
      <c r="B837" s="9"/>
      <c r="C837" s="3"/>
      <c r="D837" s="33"/>
      <c r="E837" s="32"/>
      <c r="F837" s="32"/>
      <c r="G837" s="3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3"/>
      <c r="B838" s="9"/>
      <c r="C838" s="3"/>
      <c r="D838" s="33"/>
      <c r="E838" s="32"/>
      <c r="F838" s="32"/>
      <c r="G838" s="3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3"/>
      <c r="B839" s="9"/>
      <c r="C839" s="3"/>
      <c r="D839" s="33"/>
      <c r="E839" s="32"/>
      <c r="F839" s="32"/>
      <c r="G839" s="3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3"/>
      <c r="B840" s="9"/>
      <c r="C840" s="3"/>
      <c r="D840" s="33"/>
      <c r="E840" s="32"/>
      <c r="F840" s="32"/>
      <c r="G840" s="3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3"/>
      <c r="B841" s="9"/>
      <c r="C841" s="3"/>
      <c r="D841" s="33"/>
      <c r="E841" s="32"/>
      <c r="F841" s="32"/>
      <c r="G841" s="3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3"/>
      <c r="B842" s="9"/>
      <c r="C842" s="3"/>
      <c r="D842" s="33"/>
      <c r="E842" s="32"/>
      <c r="F842" s="32"/>
      <c r="G842" s="3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3"/>
      <c r="B843" s="9"/>
      <c r="C843" s="3"/>
      <c r="D843" s="33"/>
      <c r="E843" s="32"/>
      <c r="F843" s="32"/>
      <c r="G843" s="3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3"/>
      <c r="B844" s="9"/>
      <c r="C844" s="3"/>
      <c r="D844" s="33"/>
      <c r="E844" s="32"/>
      <c r="F844" s="32"/>
      <c r="G844" s="3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3"/>
      <c r="B845" s="9"/>
      <c r="C845" s="3"/>
      <c r="D845" s="33"/>
      <c r="E845" s="32"/>
      <c r="F845" s="32"/>
      <c r="G845" s="3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3"/>
      <c r="B846" s="9"/>
      <c r="C846" s="3"/>
      <c r="D846" s="33"/>
      <c r="E846" s="32"/>
      <c r="F846" s="32"/>
      <c r="G846" s="3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3"/>
      <c r="B847" s="9"/>
      <c r="C847" s="3"/>
      <c r="D847" s="33"/>
      <c r="E847" s="32"/>
      <c r="F847" s="32"/>
      <c r="G847" s="3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3"/>
      <c r="B848" s="9"/>
      <c r="C848" s="3"/>
      <c r="D848" s="33"/>
      <c r="E848" s="32"/>
      <c r="F848" s="32"/>
      <c r="G848" s="3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3"/>
      <c r="B849" s="9"/>
      <c r="C849" s="3"/>
      <c r="D849" s="33"/>
      <c r="E849" s="32"/>
      <c r="F849" s="32"/>
      <c r="G849" s="3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3"/>
      <c r="B850" s="9"/>
      <c r="C850" s="3"/>
      <c r="D850" s="33"/>
      <c r="E850" s="32"/>
      <c r="F850" s="32"/>
      <c r="G850" s="3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3"/>
      <c r="B851" s="9"/>
      <c r="C851" s="3"/>
      <c r="D851" s="33"/>
      <c r="E851" s="32"/>
      <c r="F851" s="32"/>
      <c r="G851" s="3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3"/>
      <c r="B852" s="9"/>
      <c r="C852" s="3"/>
      <c r="D852" s="33"/>
      <c r="E852" s="32"/>
      <c r="F852" s="32"/>
      <c r="G852" s="3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3"/>
      <c r="B853" s="9"/>
      <c r="C853" s="3"/>
      <c r="D853" s="33"/>
      <c r="E853" s="32"/>
      <c r="F853" s="32"/>
      <c r="G853" s="3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3"/>
      <c r="B854" s="9"/>
      <c r="C854" s="3"/>
      <c r="D854" s="33"/>
      <c r="E854" s="32"/>
      <c r="F854" s="32"/>
      <c r="G854" s="3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3"/>
      <c r="B855" s="9"/>
      <c r="C855" s="3"/>
      <c r="D855" s="33"/>
      <c r="E855" s="32"/>
      <c r="F855" s="32"/>
      <c r="G855" s="3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3"/>
      <c r="B856" s="9"/>
      <c r="C856" s="3"/>
      <c r="D856" s="33"/>
      <c r="E856" s="32"/>
      <c r="F856" s="32"/>
      <c r="G856" s="3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3"/>
      <c r="B857" s="9"/>
      <c r="C857" s="3"/>
      <c r="D857" s="33"/>
      <c r="E857" s="32"/>
      <c r="F857" s="32"/>
      <c r="G857" s="3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3"/>
      <c r="B858" s="9"/>
      <c r="C858" s="3"/>
      <c r="D858" s="33"/>
      <c r="E858" s="32"/>
      <c r="F858" s="32"/>
      <c r="G858" s="3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3"/>
      <c r="B859" s="9"/>
      <c r="C859" s="3"/>
      <c r="D859" s="33"/>
      <c r="E859" s="32"/>
      <c r="F859" s="32"/>
      <c r="G859" s="3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3"/>
      <c r="B860" s="9"/>
      <c r="C860" s="3"/>
      <c r="D860" s="33"/>
      <c r="E860" s="32"/>
      <c r="F860" s="32"/>
      <c r="G860" s="3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3"/>
      <c r="B861" s="9"/>
      <c r="C861" s="3"/>
      <c r="D861" s="33"/>
      <c r="E861" s="32"/>
      <c r="F861" s="32"/>
      <c r="G861" s="3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3"/>
      <c r="B862" s="9"/>
      <c r="C862" s="3"/>
      <c r="D862" s="33"/>
      <c r="E862" s="32"/>
      <c r="F862" s="32"/>
      <c r="G862" s="3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3"/>
      <c r="B863" s="9"/>
      <c r="C863" s="3"/>
      <c r="D863" s="33"/>
      <c r="E863" s="32"/>
      <c r="F863" s="32"/>
      <c r="G863" s="3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3"/>
      <c r="B864" s="9"/>
      <c r="C864" s="3"/>
      <c r="D864" s="33"/>
      <c r="E864" s="32"/>
      <c r="F864" s="32"/>
      <c r="G864" s="3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3"/>
      <c r="B865" s="9"/>
      <c r="C865" s="3"/>
      <c r="D865" s="33"/>
      <c r="E865" s="32"/>
      <c r="F865" s="32"/>
      <c r="G865" s="3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3"/>
      <c r="B866" s="9"/>
      <c r="C866" s="3"/>
      <c r="D866" s="33"/>
      <c r="E866" s="32"/>
      <c r="F866" s="32"/>
      <c r="G866" s="3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3"/>
      <c r="B867" s="9"/>
      <c r="C867" s="3"/>
      <c r="D867" s="33"/>
      <c r="E867" s="32"/>
      <c r="F867" s="32"/>
      <c r="G867" s="3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3"/>
      <c r="B868" s="9"/>
      <c r="C868" s="3"/>
      <c r="D868" s="33"/>
      <c r="E868" s="32"/>
      <c r="F868" s="32"/>
      <c r="G868" s="3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3"/>
      <c r="B869" s="9"/>
      <c r="C869" s="3"/>
      <c r="D869" s="33"/>
      <c r="E869" s="32"/>
      <c r="F869" s="32"/>
      <c r="G869" s="3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3"/>
      <c r="B870" s="9"/>
      <c r="C870" s="3"/>
      <c r="D870" s="33"/>
      <c r="E870" s="32"/>
      <c r="F870" s="32"/>
      <c r="G870" s="3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3"/>
      <c r="B871" s="9"/>
      <c r="C871" s="3"/>
      <c r="D871" s="33"/>
      <c r="E871" s="32"/>
      <c r="F871" s="32"/>
      <c r="G871" s="3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3"/>
      <c r="B872" s="9"/>
      <c r="C872" s="3"/>
      <c r="D872" s="33"/>
      <c r="E872" s="32"/>
      <c r="F872" s="32"/>
      <c r="G872" s="3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3"/>
      <c r="B873" s="9"/>
      <c r="C873" s="3"/>
      <c r="D873" s="33"/>
      <c r="E873" s="32"/>
      <c r="F873" s="32"/>
      <c r="G873" s="3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3"/>
      <c r="B874" s="9"/>
      <c r="C874" s="3"/>
      <c r="D874" s="33"/>
      <c r="E874" s="32"/>
      <c r="F874" s="32"/>
      <c r="G874" s="3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3"/>
      <c r="B875" s="9"/>
      <c r="C875" s="3"/>
      <c r="D875" s="33"/>
      <c r="E875" s="32"/>
      <c r="F875" s="32"/>
      <c r="G875" s="3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3"/>
      <c r="B876" s="9"/>
      <c r="C876" s="3"/>
      <c r="D876" s="33"/>
      <c r="E876" s="32"/>
      <c r="F876" s="32"/>
      <c r="G876" s="3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3"/>
      <c r="B877" s="9"/>
      <c r="C877" s="3"/>
      <c r="D877" s="33"/>
      <c r="E877" s="32"/>
      <c r="F877" s="32"/>
      <c r="G877" s="3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3"/>
      <c r="B878" s="9"/>
      <c r="C878" s="3"/>
      <c r="D878" s="33"/>
      <c r="E878" s="32"/>
      <c r="F878" s="32"/>
      <c r="G878" s="3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3"/>
      <c r="B879" s="9"/>
      <c r="C879" s="3"/>
      <c r="D879" s="33"/>
      <c r="E879" s="32"/>
      <c r="F879" s="32"/>
      <c r="G879" s="3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3"/>
      <c r="B880" s="9"/>
      <c r="C880" s="3"/>
      <c r="D880" s="33"/>
      <c r="E880" s="32"/>
      <c r="F880" s="32"/>
      <c r="G880" s="3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3"/>
      <c r="B881" s="9"/>
      <c r="C881" s="3"/>
      <c r="D881" s="33"/>
      <c r="E881" s="32"/>
      <c r="F881" s="32"/>
      <c r="G881" s="3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3"/>
      <c r="B882" s="9"/>
      <c r="C882" s="3"/>
      <c r="D882" s="33"/>
      <c r="E882" s="32"/>
      <c r="F882" s="32"/>
      <c r="G882" s="3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3"/>
      <c r="B883" s="9"/>
      <c r="C883" s="3"/>
      <c r="D883" s="33"/>
      <c r="E883" s="32"/>
      <c r="F883" s="32"/>
      <c r="G883" s="3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3"/>
      <c r="B884" s="9"/>
      <c r="C884" s="3"/>
      <c r="D884" s="33"/>
      <c r="E884" s="32"/>
      <c r="F884" s="32"/>
      <c r="G884" s="3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3"/>
      <c r="B885" s="9"/>
      <c r="C885" s="3"/>
      <c r="D885" s="33"/>
      <c r="E885" s="32"/>
      <c r="F885" s="32"/>
      <c r="G885" s="3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3"/>
      <c r="B886" s="9"/>
      <c r="C886" s="3"/>
      <c r="D886" s="33"/>
      <c r="E886" s="32"/>
      <c r="F886" s="32"/>
      <c r="G886" s="3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3"/>
      <c r="B887" s="9"/>
      <c r="C887" s="3"/>
      <c r="D887" s="33"/>
      <c r="E887" s="32"/>
      <c r="F887" s="32"/>
      <c r="G887" s="3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3"/>
      <c r="B888" s="9"/>
      <c r="C888" s="3"/>
      <c r="D888" s="33"/>
      <c r="E888" s="32"/>
      <c r="F888" s="32"/>
      <c r="G888" s="3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3"/>
      <c r="B889" s="9"/>
      <c r="C889" s="3"/>
      <c r="D889" s="33"/>
      <c r="E889" s="32"/>
      <c r="F889" s="32"/>
      <c r="G889" s="3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3"/>
      <c r="B890" s="9"/>
      <c r="C890" s="3"/>
      <c r="D890" s="33"/>
      <c r="E890" s="32"/>
      <c r="F890" s="32"/>
      <c r="G890" s="3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3"/>
      <c r="B891" s="9"/>
      <c r="C891" s="3"/>
      <c r="D891" s="33"/>
      <c r="E891" s="32"/>
      <c r="F891" s="32"/>
      <c r="G891" s="3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3"/>
      <c r="B892" s="9"/>
      <c r="C892" s="3"/>
      <c r="D892" s="33"/>
      <c r="E892" s="32"/>
      <c r="F892" s="32"/>
      <c r="G892" s="3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3"/>
      <c r="B893" s="9"/>
      <c r="C893" s="3"/>
      <c r="D893" s="33"/>
      <c r="E893" s="32"/>
      <c r="F893" s="32"/>
      <c r="G893" s="3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3"/>
      <c r="B894" s="9"/>
      <c r="C894" s="3"/>
      <c r="D894" s="33"/>
      <c r="E894" s="32"/>
      <c r="F894" s="32"/>
      <c r="G894" s="3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3"/>
      <c r="B895" s="9"/>
      <c r="C895" s="3"/>
      <c r="D895" s="33"/>
      <c r="E895" s="32"/>
      <c r="F895" s="32"/>
      <c r="G895" s="3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3"/>
      <c r="B896" s="9"/>
      <c r="C896" s="3"/>
      <c r="D896" s="33"/>
      <c r="E896" s="32"/>
      <c r="F896" s="32"/>
      <c r="G896" s="3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3"/>
      <c r="B897" s="9"/>
      <c r="C897" s="3"/>
      <c r="D897" s="33"/>
      <c r="E897" s="32"/>
      <c r="F897" s="32"/>
      <c r="G897" s="3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3"/>
      <c r="B898" s="9"/>
      <c r="C898" s="3"/>
      <c r="D898" s="33"/>
      <c r="E898" s="32"/>
      <c r="F898" s="32"/>
      <c r="G898" s="3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3"/>
      <c r="B899" s="9"/>
      <c r="C899" s="3"/>
      <c r="D899" s="33"/>
      <c r="E899" s="32"/>
      <c r="F899" s="32"/>
      <c r="G899" s="3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3"/>
      <c r="B900" s="9"/>
      <c r="C900" s="3"/>
      <c r="D900" s="33"/>
      <c r="E900" s="32"/>
      <c r="F900" s="32"/>
      <c r="G900" s="3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3"/>
      <c r="B901" s="9"/>
      <c r="C901" s="3"/>
      <c r="D901" s="33"/>
      <c r="E901" s="32"/>
      <c r="F901" s="32"/>
      <c r="G901" s="3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3"/>
      <c r="B902" s="9"/>
      <c r="C902" s="3"/>
      <c r="D902" s="33"/>
      <c r="E902" s="32"/>
      <c r="F902" s="32"/>
      <c r="G902" s="3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3"/>
      <c r="B903" s="9"/>
      <c r="C903" s="3"/>
      <c r="D903" s="33"/>
      <c r="E903" s="32"/>
      <c r="F903" s="32"/>
      <c r="G903" s="3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3"/>
      <c r="B904" s="9"/>
      <c r="C904" s="3"/>
      <c r="D904" s="33"/>
      <c r="E904" s="32"/>
      <c r="F904" s="32"/>
      <c r="G904" s="3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3"/>
      <c r="B905" s="9"/>
      <c r="C905" s="3"/>
      <c r="D905" s="33"/>
      <c r="E905" s="32"/>
      <c r="F905" s="32"/>
      <c r="G905" s="3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3"/>
      <c r="B906" s="9"/>
      <c r="C906" s="3"/>
      <c r="D906" s="33"/>
      <c r="E906" s="32"/>
      <c r="F906" s="32"/>
      <c r="G906" s="3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3"/>
      <c r="B907" s="9"/>
      <c r="C907" s="3"/>
      <c r="D907" s="33"/>
      <c r="E907" s="32"/>
      <c r="F907" s="32"/>
      <c r="G907" s="3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3"/>
      <c r="B908" s="9"/>
      <c r="C908" s="3"/>
      <c r="D908" s="33"/>
      <c r="E908" s="32"/>
      <c r="F908" s="32"/>
      <c r="G908" s="3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3"/>
      <c r="B909" s="9"/>
      <c r="C909" s="3"/>
      <c r="D909" s="33"/>
      <c r="E909" s="32"/>
      <c r="F909" s="32"/>
      <c r="G909" s="3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3"/>
      <c r="B910" s="9"/>
      <c r="C910" s="3"/>
      <c r="D910" s="33"/>
      <c r="E910" s="32"/>
      <c r="F910" s="32"/>
      <c r="G910" s="3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3"/>
      <c r="B911" s="9"/>
      <c r="C911" s="3"/>
      <c r="D911" s="33"/>
      <c r="E911" s="32"/>
      <c r="F911" s="32"/>
      <c r="G911" s="3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3"/>
      <c r="B912" s="9"/>
      <c r="C912" s="3"/>
      <c r="D912" s="33"/>
      <c r="E912" s="32"/>
      <c r="F912" s="32"/>
      <c r="G912" s="3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3"/>
      <c r="B913" s="9"/>
      <c r="C913" s="3"/>
      <c r="D913" s="33"/>
      <c r="E913" s="32"/>
      <c r="F913" s="32"/>
      <c r="G913" s="3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3"/>
      <c r="B914" s="9"/>
      <c r="C914" s="3"/>
      <c r="D914" s="33"/>
      <c r="E914" s="32"/>
      <c r="F914" s="32"/>
      <c r="G914" s="3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3"/>
      <c r="B915" s="9"/>
      <c r="C915" s="3"/>
      <c r="D915" s="33"/>
      <c r="E915" s="32"/>
      <c r="F915" s="32"/>
      <c r="G915" s="3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3"/>
      <c r="B916" s="9"/>
      <c r="C916" s="3"/>
      <c r="D916" s="33"/>
      <c r="E916" s="32"/>
      <c r="F916" s="32"/>
      <c r="G916" s="3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3"/>
      <c r="B917" s="9"/>
      <c r="C917" s="3"/>
      <c r="D917" s="33"/>
      <c r="E917" s="32"/>
      <c r="F917" s="32"/>
      <c r="G917" s="3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3"/>
      <c r="B918" s="9"/>
      <c r="C918" s="3"/>
      <c r="D918" s="33"/>
      <c r="E918" s="32"/>
      <c r="F918" s="32"/>
      <c r="G918" s="3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3"/>
      <c r="B919" s="9"/>
      <c r="C919" s="3"/>
      <c r="D919" s="33"/>
      <c r="E919" s="32"/>
      <c r="F919" s="32"/>
      <c r="G919" s="3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3"/>
      <c r="B920" s="9"/>
      <c r="C920" s="3"/>
      <c r="D920" s="33"/>
      <c r="E920" s="32"/>
      <c r="F920" s="32"/>
      <c r="G920" s="3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3"/>
      <c r="B921" s="9"/>
      <c r="C921" s="3"/>
      <c r="D921" s="33"/>
      <c r="E921" s="32"/>
      <c r="F921" s="32"/>
      <c r="G921" s="3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3"/>
      <c r="B922" s="9"/>
      <c r="C922" s="3"/>
      <c r="D922" s="33"/>
      <c r="E922" s="32"/>
      <c r="F922" s="32"/>
      <c r="G922" s="3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3"/>
      <c r="B923" s="9"/>
      <c r="C923" s="3"/>
      <c r="D923" s="33"/>
      <c r="E923" s="32"/>
      <c r="F923" s="32"/>
      <c r="G923" s="3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3"/>
      <c r="B924" s="9"/>
      <c r="C924" s="3"/>
      <c r="D924" s="33"/>
      <c r="E924" s="32"/>
      <c r="F924" s="32"/>
      <c r="G924" s="3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3"/>
      <c r="B925" s="9"/>
      <c r="C925" s="3"/>
      <c r="D925" s="33"/>
      <c r="E925" s="32"/>
      <c r="F925" s="32"/>
      <c r="G925" s="3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3"/>
      <c r="B926" s="9"/>
      <c r="C926" s="3"/>
      <c r="D926" s="33"/>
      <c r="E926" s="32"/>
      <c r="F926" s="32"/>
      <c r="G926" s="3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3"/>
      <c r="B927" s="9"/>
      <c r="C927" s="3"/>
      <c r="D927" s="33"/>
      <c r="E927" s="32"/>
      <c r="F927" s="32"/>
      <c r="G927" s="3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3"/>
      <c r="B928" s="9"/>
      <c r="C928" s="3"/>
      <c r="D928" s="33"/>
      <c r="E928" s="32"/>
      <c r="F928" s="32"/>
      <c r="G928" s="3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3"/>
      <c r="B929" s="9"/>
      <c r="C929" s="3"/>
      <c r="D929" s="33"/>
      <c r="E929" s="32"/>
      <c r="F929" s="32"/>
      <c r="G929" s="3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3"/>
      <c r="B930" s="9"/>
      <c r="C930" s="3"/>
      <c r="D930" s="33"/>
      <c r="E930" s="32"/>
      <c r="F930" s="32"/>
      <c r="G930" s="3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3"/>
      <c r="B931" s="9"/>
      <c r="C931" s="3"/>
      <c r="D931" s="33"/>
      <c r="E931" s="32"/>
      <c r="F931" s="32"/>
      <c r="G931" s="3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3"/>
      <c r="B932" s="9"/>
      <c r="C932" s="3"/>
      <c r="D932" s="33"/>
      <c r="E932" s="32"/>
      <c r="F932" s="32"/>
      <c r="G932" s="3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3"/>
      <c r="B933" s="9"/>
      <c r="C933" s="3"/>
      <c r="D933" s="33"/>
      <c r="E933" s="32"/>
      <c r="F933" s="32"/>
      <c r="G933" s="3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3"/>
      <c r="B934" s="9"/>
      <c r="C934" s="3"/>
      <c r="D934" s="33"/>
      <c r="E934" s="32"/>
      <c r="F934" s="32"/>
      <c r="G934" s="3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3"/>
      <c r="B935" s="9"/>
      <c r="C935" s="3"/>
      <c r="D935" s="33"/>
      <c r="E935" s="32"/>
      <c r="F935" s="32"/>
      <c r="G935" s="3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3"/>
      <c r="B936" s="9"/>
      <c r="C936" s="3"/>
      <c r="D936" s="33"/>
      <c r="E936" s="32"/>
      <c r="F936" s="32"/>
      <c r="G936" s="3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3"/>
      <c r="B937" s="9"/>
      <c r="C937" s="3"/>
      <c r="D937" s="33"/>
      <c r="E937" s="32"/>
      <c r="F937" s="32"/>
      <c r="G937" s="3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3"/>
      <c r="B938" s="9"/>
      <c r="C938" s="3"/>
      <c r="D938" s="33"/>
      <c r="E938" s="32"/>
      <c r="F938" s="32"/>
      <c r="G938" s="3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3"/>
      <c r="B939" s="9"/>
      <c r="C939" s="3"/>
      <c r="D939" s="33"/>
      <c r="E939" s="32"/>
      <c r="F939" s="32"/>
      <c r="G939" s="3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3"/>
      <c r="B940" s="9"/>
      <c r="C940" s="3"/>
      <c r="D940" s="33"/>
      <c r="E940" s="32"/>
      <c r="F940" s="32"/>
      <c r="G940" s="3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3"/>
      <c r="B941" s="9"/>
      <c r="C941" s="3"/>
      <c r="D941" s="33"/>
      <c r="E941" s="32"/>
      <c r="F941" s="32"/>
      <c r="G941" s="3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3"/>
      <c r="B942" s="9"/>
      <c r="C942" s="3"/>
      <c r="D942" s="33"/>
      <c r="E942" s="32"/>
      <c r="F942" s="32"/>
      <c r="G942" s="3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3"/>
      <c r="B943" s="9"/>
      <c r="C943" s="3"/>
      <c r="D943" s="33"/>
      <c r="E943" s="32"/>
      <c r="F943" s="32"/>
      <c r="G943" s="3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3"/>
      <c r="B944" s="9"/>
      <c r="C944" s="3"/>
      <c r="D944" s="33"/>
      <c r="E944" s="32"/>
      <c r="F944" s="32"/>
      <c r="G944" s="3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3"/>
      <c r="B945" s="9"/>
      <c r="C945" s="3"/>
      <c r="D945" s="33"/>
      <c r="E945" s="32"/>
      <c r="F945" s="32"/>
      <c r="G945" s="3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3"/>
      <c r="B946" s="9"/>
      <c r="C946" s="3"/>
      <c r="D946" s="33"/>
      <c r="E946" s="32"/>
      <c r="F946" s="32"/>
      <c r="G946" s="3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3"/>
      <c r="B947" s="9"/>
      <c r="C947" s="3"/>
      <c r="D947" s="33"/>
      <c r="E947" s="32"/>
      <c r="F947" s="32"/>
      <c r="G947" s="3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3"/>
      <c r="B948" s="9"/>
      <c r="C948" s="3"/>
      <c r="D948" s="33"/>
      <c r="E948" s="32"/>
      <c r="F948" s="32"/>
      <c r="G948" s="3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3"/>
      <c r="B949" s="9"/>
      <c r="C949" s="3"/>
      <c r="D949" s="33"/>
      <c r="E949" s="32"/>
      <c r="F949" s="32"/>
      <c r="G949" s="3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3"/>
      <c r="B950" s="9"/>
      <c r="C950" s="3"/>
      <c r="D950" s="33"/>
      <c r="E950" s="32"/>
      <c r="F950" s="32"/>
      <c r="G950" s="3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3"/>
      <c r="B951" s="9"/>
      <c r="C951" s="3"/>
      <c r="D951" s="33"/>
      <c r="E951" s="32"/>
      <c r="F951" s="32"/>
      <c r="G951" s="3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3"/>
      <c r="B952" s="9"/>
      <c r="C952" s="3"/>
      <c r="D952" s="33"/>
      <c r="E952" s="32"/>
      <c r="F952" s="32"/>
      <c r="G952" s="3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3"/>
      <c r="B953" s="9"/>
      <c r="C953" s="3"/>
      <c r="D953" s="33"/>
      <c r="E953" s="32"/>
      <c r="F953" s="32"/>
      <c r="G953" s="3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3"/>
      <c r="B954" s="9"/>
      <c r="C954" s="3"/>
      <c r="D954" s="33"/>
      <c r="E954" s="32"/>
      <c r="F954" s="32"/>
      <c r="G954" s="3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3"/>
      <c r="B955" s="9"/>
      <c r="C955" s="3"/>
      <c r="D955" s="33"/>
      <c r="E955" s="32"/>
      <c r="F955" s="32"/>
      <c r="G955" s="3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3"/>
      <c r="B956" s="9"/>
      <c r="C956" s="3"/>
      <c r="D956" s="33"/>
      <c r="E956" s="32"/>
      <c r="F956" s="32"/>
      <c r="G956" s="3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3"/>
      <c r="B957" s="9"/>
      <c r="C957" s="3"/>
      <c r="D957" s="33"/>
      <c r="E957" s="32"/>
      <c r="F957" s="32"/>
      <c r="G957" s="3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3"/>
      <c r="B958" s="9"/>
      <c r="C958" s="3"/>
      <c r="D958" s="33"/>
      <c r="E958" s="32"/>
      <c r="F958" s="32"/>
      <c r="G958" s="3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3"/>
      <c r="B959" s="9"/>
      <c r="C959" s="3"/>
      <c r="D959" s="33"/>
      <c r="E959" s="32"/>
      <c r="F959" s="32"/>
      <c r="G959" s="3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3"/>
      <c r="B960" s="9"/>
      <c r="C960" s="3"/>
      <c r="D960" s="33"/>
      <c r="E960" s="32"/>
      <c r="F960" s="32"/>
      <c r="G960" s="3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3"/>
      <c r="B961" s="9"/>
      <c r="C961" s="3"/>
      <c r="D961" s="33"/>
      <c r="E961" s="32"/>
      <c r="F961" s="32"/>
      <c r="G961" s="3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3"/>
      <c r="B962" s="9"/>
      <c r="C962" s="3"/>
      <c r="D962" s="33"/>
      <c r="E962" s="32"/>
      <c r="F962" s="32"/>
      <c r="G962" s="3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3"/>
      <c r="B963" s="9"/>
      <c r="C963" s="3"/>
      <c r="D963" s="33"/>
      <c r="E963" s="32"/>
      <c r="F963" s="32"/>
      <c r="G963" s="3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3"/>
      <c r="B964" s="9"/>
      <c r="C964" s="3"/>
      <c r="D964" s="33"/>
      <c r="E964" s="32"/>
      <c r="F964" s="32"/>
      <c r="G964" s="3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3"/>
      <c r="B965" s="9"/>
      <c r="C965" s="3"/>
      <c r="D965" s="33"/>
      <c r="E965" s="32"/>
      <c r="F965" s="32"/>
      <c r="G965" s="3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3"/>
      <c r="B966" s="9"/>
      <c r="C966" s="3"/>
      <c r="D966" s="33"/>
      <c r="E966" s="32"/>
      <c r="F966" s="32"/>
      <c r="G966" s="3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3"/>
      <c r="B967" s="9"/>
      <c r="C967" s="3"/>
      <c r="D967" s="33"/>
      <c r="E967" s="32"/>
      <c r="F967" s="32"/>
      <c r="G967" s="3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3"/>
      <c r="B968" s="9"/>
      <c r="C968" s="3"/>
      <c r="D968" s="33"/>
      <c r="E968" s="32"/>
      <c r="F968" s="32"/>
      <c r="G968" s="3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3"/>
      <c r="B969" s="9"/>
      <c r="C969" s="3"/>
      <c r="D969" s="33"/>
      <c r="E969" s="32"/>
      <c r="F969" s="32"/>
      <c r="G969" s="3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3"/>
      <c r="B970" s="9"/>
      <c r="C970" s="3"/>
      <c r="D970" s="33"/>
      <c r="E970" s="32"/>
      <c r="F970" s="32"/>
      <c r="G970" s="3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3"/>
      <c r="B971" s="9"/>
      <c r="C971" s="3"/>
      <c r="D971" s="33"/>
      <c r="E971" s="32"/>
      <c r="F971" s="32"/>
      <c r="G971" s="3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3"/>
      <c r="B972" s="9"/>
      <c r="C972" s="3"/>
      <c r="D972" s="33"/>
      <c r="E972" s="32"/>
      <c r="F972" s="32"/>
      <c r="G972" s="3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3"/>
      <c r="B973" s="9"/>
      <c r="C973" s="3"/>
      <c r="D973" s="33"/>
      <c r="E973" s="32"/>
      <c r="F973" s="32"/>
      <c r="G973" s="3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3"/>
      <c r="B974" s="9"/>
      <c r="C974" s="3"/>
      <c r="D974" s="33"/>
      <c r="E974" s="32"/>
      <c r="F974" s="32"/>
      <c r="G974" s="3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3"/>
      <c r="B975" s="9"/>
      <c r="C975" s="3"/>
      <c r="D975" s="33"/>
      <c r="E975" s="32"/>
      <c r="F975" s="32"/>
      <c r="G975" s="3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3"/>
      <c r="B976" s="9"/>
      <c r="C976" s="3"/>
      <c r="D976" s="33"/>
      <c r="E976" s="32"/>
      <c r="F976" s="32"/>
      <c r="G976" s="3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3"/>
      <c r="B977" s="9"/>
      <c r="C977" s="3"/>
      <c r="D977" s="33"/>
      <c r="E977" s="32"/>
      <c r="F977" s="32"/>
      <c r="G977" s="3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3"/>
      <c r="B978" s="9"/>
      <c r="C978" s="3"/>
      <c r="D978" s="33"/>
      <c r="E978" s="32"/>
      <c r="F978" s="32"/>
      <c r="G978" s="3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3"/>
      <c r="B979" s="9"/>
      <c r="C979" s="3"/>
      <c r="D979" s="33"/>
      <c r="E979" s="32"/>
      <c r="F979" s="32"/>
      <c r="G979" s="3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3"/>
      <c r="B980" s="9"/>
      <c r="C980" s="3"/>
      <c r="D980" s="33"/>
      <c r="E980" s="32"/>
      <c r="F980" s="32"/>
      <c r="G980" s="3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3"/>
      <c r="B981" s="9"/>
      <c r="C981" s="3"/>
      <c r="D981" s="33"/>
      <c r="E981" s="32"/>
      <c r="F981" s="32"/>
      <c r="G981" s="3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3"/>
      <c r="B982" s="9"/>
      <c r="C982" s="3"/>
      <c r="D982" s="33"/>
      <c r="E982" s="32"/>
      <c r="F982" s="32"/>
      <c r="G982" s="3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3"/>
      <c r="B983" s="9"/>
      <c r="C983" s="3"/>
      <c r="D983" s="33"/>
      <c r="E983" s="32"/>
      <c r="F983" s="32"/>
      <c r="G983" s="3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3"/>
      <c r="B984" s="9"/>
      <c r="C984" s="3"/>
      <c r="D984" s="33"/>
      <c r="E984" s="32"/>
      <c r="F984" s="32"/>
      <c r="G984" s="3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3"/>
      <c r="B985" s="9"/>
      <c r="C985" s="3"/>
      <c r="D985" s="33"/>
      <c r="E985" s="32"/>
      <c r="F985" s="32"/>
      <c r="G985" s="3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3"/>
      <c r="B986" s="9"/>
      <c r="C986" s="3"/>
      <c r="D986" s="33"/>
      <c r="E986" s="32"/>
      <c r="F986" s="32"/>
      <c r="G986" s="3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3"/>
      <c r="B987" s="9"/>
      <c r="C987" s="3"/>
      <c r="D987" s="33"/>
      <c r="E987" s="32"/>
      <c r="F987" s="32"/>
      <c r="G987" s="3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3"/>
      <c r="B988" s="9"/>
      <c r="C988" s="3"/>
      <c r="D988" s="33"/>
      <c r="E988" s="32"/>
      <c r="F988" s="32"/>
      <c r="G988" s="3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3"/>
      <c r="B989" s="9"/>
      <c r="C989" s="3"/>
      <c r="D989" s="33"/>
      <c r="E989" s="32"/>
      <c r="F989" s="32"/>
      <c r="G989" s="3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3"/>
      <c r="B990" s="9"/>
      <c r="C990" s="3"/>
      <c r="D990" s="33"/>
      <c r="E990" s="32"/>
      <c r="F990" s="32"/>
      <c r="G990" s="3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3"/>
      <c r="B991" s="9"/>
      <c r="C991" s="3"/>
      <c r="D991" s="33"/>
      <c r="E991" s="32"/>
      <c r="F991" s="32"/>
      <c r="G991" s="3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3"/>
      <c r="B992" s="9"/>
      <c r="C992" s="3"/>
      <c r="D992" s="33"/>
      <c r="E992" s="32"/>
      <c r="F992" s="32"/>
      <c r="G992" s="3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3"/>
      <c r="B993" s="9"/>
      <c r="C993" s="3"/>
      <c r="D993" s="33"/>
      <c r="E993" s="32"/>
      <c r="F993" s="32"/>
      <c r="G993" s="3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3"/>
      <c r="B994" s="9"/>
      <c r="C994" s="3"/>
      <c r="D994" s="33"/>
      <c r="E994" s="32"/>
      <c r="F994" s="32"/>
      <c r="G994" s="3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3"/>
      <c r="B995" s="9"/>
      <c r="C995" s="3"/>
      <c r="D995" s="33"/>
      <c r="E995" s="32"/>
      <c r="F995" s="32"/>
      <c r="G995" s="3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3"/>
      <c r="B996" s="9"/>
      <c r="C996" s="3"/>
      <c r="D996" s="33"/>
      <c r="E996" s="32"/>
      <c r="F996" s="32"/>
      <c r="G996" s="3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3"/>
      <c r="B997" s="9"/>
      <c r="C997" s="3"/>
      <c r="D997" s="33"/>
      <c r="E997" s="32"/>
      <c r="F997" s="32"/>
      <c r="G997" s="3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3"/>
      <c r="B998" s="9"/>
      <c r="C998" s="3"/>
      <c r="D998" s="33"/>
      <c r="E998" s="32"/>
      <c r="F998" s="32"/>
      <c r="G998" s="3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3"/>
      <c r="B999" s="9"/>
      <c r="C999" s="3"/>
      <c r="D999" s="33"/>
      <c r="E999" s="32"/>
      <c r="F999" s="32"/>
      <c r="G999" s="3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3"/>
      <c r="B1000" s="9"/>
      <c r="C1000" s="3"/>
      <c r="D1000" s="33"/>
      <c r="E1000" s="32"/>
      <c r="F1000" s="32"/>
      <c r="G1000" s="3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E2:F1000 H84:J136 C94">
    <cfRule type="cellIs" dxfId="0" priority="1" operator="greaterThanOrEqual">
      <formula>3000</formula>
    </cfRule>
  </conditionalFormatting>
  <conditionalFormatting sqref="E2:F1000 H84:J136 C94">
    <cfRule type="cellIs" dxfId="1" priority="2" operator="greaterThanOrEqual">
      <formula>2600</formula>
    </cfRule>
  </conditionalFormatting>
  <conditionalFormatting sqref="E2:F1000 H84:J136 C94">
    <cfRule type="cellIs" dxfId="2" priority="3" operator="greaterThanOrEqual">
      <formula>2400</formula>
    </cfRule>
  </conditionalFormatting>
  <conditionalFormatting sqref="E2:F1000 H84:J136 C94">
    <cfRule type="cellIs" dxfId="3" priority="4" operator="greaterThanOrEqual">
      <formula>2300</formula>
    </cfRule>
  </conditionalFormatting>
  <conditionalFormatting sqref="E2:F1000 H84:J136 C94">
    <cfRule type="cellIs" dxfId="4" priority="5" operator="greaterThanOrEqual">
      <formula>2100</formula>
    </cfRule>
  </conditionalFormatting>
  <conditionalFormatting sqref="E2:F1000 H84:J136 C94">
    <cfRule type="cellIs" dxfId="5" priority="6" operator="greaterThanOrEqual">
      <formula>1900</formula>
    </cfRule>
  </conditionalFormatting>
  <conditionalFormatting sqref="E2:F1000 H84:J136 C94">
    <cfRule type="cellIs" dxfId="6" priority="7" operator="greaterThanOrEqual">
      <formula>1600</formula>
    </cfRule>
  </conditionalFormatting>
  <conditionalFormatting sqref="E2:F1000 H84:J136 C94">
    <cfRule type="cellIs" dxfId="14" priority="8" operator="greaterThanOrEqual">
      <formula>1400</formula>
    </cfRule>
  </conditionalFormatting>
  <conditionalFormatting sqref="E2:F1000 H84:J136 C94">
    <cfRule type="cellIs" dxfId="8" priority="9" operator="greaterThanOrEqual">
      <formula>1200</formula>
    </cfRule>
  </conditionalFormatting>
  <conditionalFormatting sqref="E2:F1000 H84:J136 C94">
    <cfRule type="notContainsBlanks" dxfId="9" priority="10">
      <formula>LEN(TRIM(E2))&gt;0</formula>
    </cfRule>
  </conditionalFormatting>
  <conditionalFormatting sqref="D1:D1000">
    <cfRule type="cellIs" dxfId="15" priority="11" operator="equal">
      <formula>1</formula>
    </cfRule>
  </conditionalFormatting>
  <conditionalFormatting sqref="D1:D1000">
    <cfRule type="cellIs" dxfId="13" priority="12" operator="equal">
      <formula>2</formula>
    </cfRule>
  </conditionalFormatting>
  <conditionalFormatting sqref="D1:D1000">
    <cfRule type="cellIs" dxfId="16" priority="13" operator="equal">
      <formula>3</formula>
    </cfRule>
  </conditionalFormatting>
  <conditionalFormatting sqref="G1:G1000">
    <cfRule type="cellIs" dxfId="17" priority="14" operator="greaterThan">
      <formula>0</formula>
    </cfRule>
  </conditionalFormatting>
  <conditionalFormatting sqref="G1:G1000">
    <cfRule type="cellIs" dxfId="18" priority="15" operator="lessThan">
      <formula>0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129</v>
      </c>
      <c r="B1" s="6" t="s">
        <v>243</v>
      </c>
      <c r="C1" s="1" t="s">
        <v>0</v>
      </c>
      <c r="D1" s="30" t="s">
        <v>130</v>
      </c>
      <c r="E1" s="3"/>
      <c r="F1" s="29"/>
      <c r="G1" s="30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365</v>
      </c>
      <c r="B2" s="11">
        <v>45292.0</v>
      </c>
      <c r="C2" s="7" t="s">
        <v>366</v>
      </c>
      <c r="D2" s="36">
        <v>2589.0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367</v>
      </c>
      <c r="B3" s="11">
        <v>45293.0</v>
      </c>
      <c r="C3" s="7" t="s">
        <v>368</v>
      </c>
      <c r="D3" s="36">
        <v>2633.0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369</v>
      </c>
      <c r="B4" s="11">
        <v>45294.0</v>
      </c>
      <c r="C4" s="7" t="s">
        <v>370</v>
      </c>
      <c r="D4" s="36">
        <v>2594.0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371</v>
      </c>
      <c r="B5" s="11">
        <v>45295.0</v>
      </c>
      <c r="C5" s="7" t="s">
        <v>372</v>
      </c>
      <c r="D5" s="36">
        <v>2839.0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373</v>
      </c>
      <c r="B6" s="11">
        <v>45296.0</v>
      </c>
      <c r="C6" s="7" t="s">
        <v>374</v>
      </c>
      <c r="D6" s="36">
        <v>2379.0</v>
      </c>
      <c r="E6" s="3">
        <f>average(D2:D6)</f>
        <v>2606.8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D2:D6">
    <cfRule type="cellIs" dxfId="2" priority="1" operator="greaterThanOrEqual">
      <formula>2800</formula>
    </cfRule>
  </conditionalFormatting>
  <conditionalFormatting sqref="D2:D6">
    <cfRule type="cellIs" dxfId="4" priority="2" operator="greaterThanOrEqual">
      <formula>2400</formula>
    </cfRule>
  </conditionalFormatting>
  <conditionalFormatting sqref="D2:D6">
    <cfRule type="cellIs" dxfId="19" priority="3" operator="greaterThanOrEqual">
      <formula>2000</formula>
    </cfRule>
  </conditionalFormatting>
  <conditionalFormatting sqref="D2:D6">
    <cfRule type="cellIs" dxfId="6" priority="4" operator="greaterThanOrEqual">
      <formula>1600</formula>
    </cfRule>
  </conditionalFormatting>
  <conditionalFormatting sqref="D2:D6">
    <cfRule type="cellIs" dxfId="14" priority="5" operator="greaterThanOrEqual">
      <formula>1200</formula>
    </cfRule>
  </conditionalFormatting>
  <conditionalFormatting sqref="D2:D6">
    <cfRule type="cellIs" dxfId="8" priority="6" operator="greaterThanOrEqual">
      <formula>800</formula>
    </cfRule>
  </conditionalFormatting>
  <conditionalFormatting sqref="D2:D6">
    <cfRule type="cellIs" dxfId="20" priority="7" operator="greaterThanOrEqual">
      <formula>400</formula>
    </cfRule>
  </conditionalFormatting>
  <conditionalFormatting sqref="D2:D6">
    <cfRule type="cellIs" dxfId="21" priority="8" operator="greaterThanOrEqual">
      <formula>0</formula>
    </cfRule>
  </conditionalFormatting>
  <conditionalFormatting sqref="G1">
    <cfRule type="cellIs" dxfId="17" priority="9" operator="greaterThan">
      <formula>0</formula>
    </cfRule>
  </conditionalFormatting>
  <conditionalFormatting sqref="G1">
    <cfRule type="cellIs" dxfId="18" priority="10" operator="lessThan">
      <formula>0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